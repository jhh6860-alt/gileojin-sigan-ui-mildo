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장면" sheetId="2" state="visible" r:id="rId4"/>
    <sheet name="상호작용" sheetId="3" state="visible" r:id="rId5"/>
    <sheet name="관계 회고" sheetId="4" state="visible" r:id="rId6"/>
    <sheet name="요약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<sst xmlns="http://schemas.openxmlformats.org/spreadsheetml/2006/main" count="458" uniqueCount="232">
  <si>
    <r>
      <rPr>
        <b val="true"/>
        <sz val="14"/>
        <rFont val="Noto Sans CJK SC"/>
        <family val="2"/>
      </rPr>
      <t xml:space="preserve">길어진 시간의 밀도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Noto Sans CJK SC"/>
        <family val="2"/>
      </rPr>
      <t xml:space="preserve">장면 데이터 시트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초안</t>
    </r>
    <r>
      <rPr>
        <b val="true"/>
        <sz val="14"/>
        <rFont val="Arial"/>
        <family val="0"/>
        <charset val="1"/>
      </rPr>
      <t xml:space="preserve">)</t>
    </r>
  </si>
  <si>
    <t xml:space="preserve">목적</t>
  </si>
  <si>
    <r>
      <rPr>
        <sz val="10"/>
        <rFont val="Noto Sans CJK SC"/>
        <family val="2"/>
      </rPr>
      <t xml:space="preserve">웹사이트의 모든 분석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상호작용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감정 차트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밀도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관계 회고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원본 데이터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이 시트가 확정되어야 화면의 수치가 확정됩니다</t>
    </r>
    <r>
      <rPr>
        <sz val="10"/>
        <rFont val="Arial"/>
        <family val="0"/>
        <charset val="1"/>
      </rPr>
      <t xml:space="preserve">.</t>
    </r>
  </si>
  <si>
    <t xml:space="preserve">채워 넣을 칸</t>
  </si>
  <si>
    <r>
      <rPr>
        <sz val="10"/>
        <rFont val="Noto Sans CJK SC"/>
        <family val="2"/>
      </rPr>
      <t xml:space="preserve">노란색 칸이 직접 입력할 칸입니다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회색 머리줄과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요약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시트의 수식 칸은 수정하지 마세요</t>
    </r>
    <r>
      <rPr>
        <sz val="10"/>
        <rFont val="Arial"/>
        <family val="0"/>
        <charset val="1"/>
      </rPr>
      <t xml:space="preserve">.</t>
    </r>
  </si>
  <si>
    <t xml:space="preserve">채워진 내용의 출처</t>
  </si>
  <si>
    <r>
      <rPr>
        <sz val="10"/>
        <rFont val="Noto Sans CJK SC"/>
        <family val="2"/>
      </rPr>
      <t xml:space="preserve">기존 포스터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기획안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발표대본에 적힌 내용과 사용자가 알려준 사진 시각만 옮겼습니다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출처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열에 근거를 적어 두었습니다</t>
    </r>
    <r>
      <rPr>
        <sz val="10"/>
        <rFont val="Arial"/>
        <family val="0"/>
        <charset val="1"/>
      </rPr>
      <t xml:space="preserve">.</t>
    </r>
  </si>
  <si>
    <t xml:space="preserve">검토 상태</t>
  </si>
  <si>
    <r>
      <rPr>
        <sz val="10"/>
        <rFont val="Noto Sans CJK SC"/>
        <family val="2"/>
      </rPr>
      <t xml:space="preserve">모든 상호작용은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미검토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시작합니다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직접 확인한 줄만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바꾸세요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요약 시트는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확정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이고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걷기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구간인 줄만 셉니다</t>
    </r>
    <r>
      <rPr>
        <sz val="10"/>
        <rFont val="Arial"/>
        <family val="0"/>
        <charset val="1"/>
      </rPr>
      <t xml:space="preserve">.</t>
    </r>
  </si>
  <si>
    <t xml:space="preserve">잠정 수치</t>
  </si>
  <si>
    <r>
      <rPr>
        <sz val="10"/>
        <rFont val="Noto Sans CJK SC"/>
        <family val="2"/>
      </rPr>
      <t xml:space="preserve">포스터 기호로 셌던 </t>
    </r>
    <r>
      <rPr>
        <sz val="10"/>
        <rFont val="Arial"/>
        <family val="0"/>
        <charset val="1"/>
      </rPr>
      <t xml:space="preserve">A 13</t>
    </r>
    <r>
      <rPr>
        <sz val="10"/>
        <rFont val="Noto Sans CJK SC"/>
        <family val="2"/>
      </rPr>
      <t xml:space="preserve">회 </t>
    </r>
    <r>
      <rPr>
        <sz val="10"/>
        <rFont val="Arial"/>
        <family val="0"/>
        <charset val="1"/>
      </rPr>
      <t xml:space="preserve">· B 6</t>
    </r>
    <r>
      <rPr>
        <sz val="10"/>
        <rFont val="Noto Sans CJK SC"/>
        <family val="2"/>
      </rPr>
      <t xml:space="preserve">회는 이 시트에 반영하지 않았습니다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확정 전까지 요약 값은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입니다</t>
    </r>
    <r>
      <rPr>
        <sz val="10"/>
        <rFont val="Arial"/>
        <family val="0"/>
        <charset val="1"/>
      </rPr>
      <t xml:space="preserve">.</t>
    </r>
  </si>
  <si>
    <t xml:space="preserve">구간 규칙</t>
  </si>
  <si>
    <r>
      <rPr>
        <sz val="10"/>
        <rFont val="Noto Sans CJK SC"/>
        <family val="2"/>
      </rPr>
      <t xml:space="preserve">걷기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출발 </t>
    </r>
    <r>
      <rPr>
        <sz val="10"/>
        <rFont val="Arial"/>
        <family val="0"/>
        <charset val="1"/>
      </rPr>
      <t xml:space="preserve">~ </t>
    </r>
    <r>
      <rPr>
        <sz val="10"/>
        <rFont val="Noto Sans CJK SC"/>
        <family val="2"/>
      </rPr>
      <t xml:space="preserve">목적지 도착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도착 후 행동은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도착 후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분류하고 밀도에서 제외</t>
    </r>
    <r>
      <rPr>
        <sz val="10"/>
        <rFont val="Arial"/>
        <family val="0"/>
        <charset val="1"/>
      </rPr>
      <t xml:space="preserve">. A </t>
    </r>
    <r>
      <rPr>
        <sz val="10"/>
        <rFont val="Noto Sans CJK SC"/>
        <family val="2"/>
      </rPr>
      <t xml:space="preserve">카페 안 발화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도착 후</t>
    </r>
    <r>
      <rPr>
        <sz val="10"/>
        <rFont val="Arial"/>
        <family val="0"/>
        <charset val="1"/>
      </rPr>
      <t xml:space="preserve">. B '</t>
    </r>
    <r>
      <rPr>
        <sz val="10"/>
        <rFont val="Noto Sans CJK SC"/>
        <family val="2"/>
      </rPr>
      <t xml:space="preserve">벌써 도착한 게 조금 아쉽다</t>
    </r>
    <r>
      <rPr>
        <sz val="10"/>
        <rFont val="Arial"/>
        <family val="0"/>
        <charset val="1"/>
      </rPr>
      <t xml:space="preserve">' = </t>
    </r>
    <r>
      <rPr>
        <sz val="10"/>
        <rFont val="Noto Sans CJK SC"/>
        <family val="2"/>
      </rPr>
      <t xml:space="preserve">발화 시점 확인 전까지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'(</t>
    </r>
    <r>
      <rPr>
        <sz val="10"/>
        <rFont val="Noto Sans CJK SC"/>
        <family val="2"/>
      </rPr>
      <t xml:space="preserve">집계 제외</t>
    </r>
    <r>
      <rPr>
        <sz val="10"/>
        <rFont val="Arial"/>
        <family val="0"/>
        <charset val="1"/>
      </rPr>
      <t xml:space="preserve">).</t>
    </r>
  </si>
  <si>
    <t xml:space="preserve">경험 구분</t>
  </si>
  <si>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상호작용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만 집계합니다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음악 감상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노을 감상처럼 혼자 한 경험은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개인 경험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두고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친구와 대화하거나 함께 행동한 것이 확인되면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상호작용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으로 바꾸고 유형을 지정하세요</t>
    </r>
    <r>
      <rPr>
        <sz val="10"/>
        <rFont val="Arial"/>
        <family val="0"/>
        <charset val="1"/>
      </rPr>
      <t xml:space="preserve">.</t>
    </r>
  </si>
  <si>
    <t xml:space="preserve">상호작용 유형</t>
  </si>
  <si>
    <r>
      <rPr>
        <sz val="10"/>
        <rFont val="Noto Sans CJK SC"/>
        <family val="2"/>
      </rPr>
      <t xml:space="preserve">△ 이동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계획 대화 </t>
    </r>
    <r>
      <rPr>
        <sz val="10"/>
        <rFont val="Arial"/>
        <family val="0"/>
        <charset val="1"/>
      </rPr>
      <t xml:space="preserve">/ ○ </t>
    </r>
    <r>
      <rPr>
        <sz val="10"/>
        <rFont val="Noto Sans CJK SC"/>
        <family val="2"/>
      </rPr>
      <t xml:space="preserve">상황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발견 대화 </t>
    </r>
    <r>
      <rPr>
        <sz val="10"/>
        <rFont val="Arial"/>
        <family val="0"/>
        <charset val="1"/>
      </rPr>
      <t xml:space="preserve">/ □ </t>
    </r>
    <r>
      <rPr>
        <sz val="10"/>
        <rFont val="Noto Sans CJK SC"/>
        <family val="2"/>
      </rPr>
      <t xml:space="preserve">공동 행동 </t>
    </r>
    <r>
      <rPr>
        <sz val="10"/>
        <rFont val="Arial"/>
        <family val="0"/>
        <charset val="1"/>
      </rPr>
      <t xml:space="preserve">/ ♥ </t>
    </r>
    <r>
      <rPr>
        <sz val="10"/>
        <rFont val="Noto Sans CJK SC"/>
        <family val="2"/>
      </rPr>
      <t xml:space="preserve">감정 공유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한 줄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상호작용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.</t>
    </r>
  </si>
  <si>
    <t xml:space="preserve">P / I</t>
  </si>
  <si>
    <r>
      <rPr>
        <sz val="10"/>
        <rFont val="Arial"/>
        <family val="0"/>
        <charset val="1"/>
      </rPr>
      <t xml:space="preserve">P(</t>
    </r>
    <r>
      <rPr>
        <sz val="10"/>
        <rFont val="Noto Sans CJK SC"/>
        <family val="2"/>
      </rPr>
      <t xml:space="preserve">공간적 예상 밖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장면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시트에</t>
    </r>
    <r>
      <rPr>
        <sz val="10"/>
        <rFont val="Arial"/>
        <family val="0"/>
        <charset val="1"/>
      </rPr>
      <t xml:space="preserve">, I(</t>
    </r>
    <r>
      <rPr>
        <sz val="10"/>
        <rFont val="Noto Sans CJK SC"/>
        <family val="2"/>
      </rPr>
      <t xml:space="preserve">상호작용적 예상 밖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상호작용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시트의 개별 줄에 표시합니다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네 유형과 별도로 집계합니다</t>
    </r>
    <r>
      <rPr>
        <sz val="10"/>
        <rFont val="Arial"/>
        <family val="0"/>
        <charset val="1"/>
      </rPr>
      <t xml:space="preserve">.</t>
    </r>
  </si>
  <si>
    <t xml:space="preserve">감정</t>
  </si>
  <si>
    <r>
      <rPr>
        <sz val="10"/>
        <rFont val="Noto Sans CJK SC"/>
        <family val="2"/>
      </rPr>
      <t xml:space="preserve">감정 종류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가지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당황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혼란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불안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안정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평온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기쁨의 시작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즐거움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만족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행복감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와 강도 −</t>
    </r>
    <r>
      <rPr>
        <sz val="10"/>
        <rFont val="Arial"/>
        <family val="0"/>
        <charset val="1"/>
      </rPr>
      <t xml:space="preserve">2 ~ +2(</t>
    </r>
    <r>
      <rPr>
        <sz val="10"/>
        <rFont val="Noto Sans CJK SC"/>
        <family val="2"/>
      </rPr>
      <t xml:space="preserve">회고 평가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포스터 색에서 옮긴 종류는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확인 필요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표시했습니다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강도는 비어 있습니다</t>
    </r>
    <r>
      <rPr>
        <sz val="10"/>
        <rFont val="Arial"/>
        <family val="0"/>
        <charset val="1"/>
      </rPr>
      <t xml:space="preserve">.</t>
    </r>
  </si>
  <si>
    <t xml:space="preserve">관계 회고</t>
  </si>
  <si>
    <r>
      <rPr>
        <sz val="10"/>
        <rFont val="Noto Sans CJK SC"/>
        <family val="2"/>
      </rPr>
      <t xml:space="preserve">친밀도 점수는 쓰지 않습니다</t>
    </r>
    <r>
      <rPr>
        <sz val="10"/>
        <rFont val="Arial"/>
        <family val="0"/>
        <charset val="1"/>
      </rPr>
      <t xml:space="preserve">. '</t>
    </r>
    <r>
      <rPr>
        <sz val="10"/>
        <rFont val="Noto Sans CJK SC"/>
        <family val="2"/>
      </rPr>
      <t xml:space="preserve">관계 회고</t>
    </r>
    <r>
      <rPr>
        <sz val="10"/>
        <rFont val="Arial"/>
        <family val="0"/>
        <charset val="1"/>
      </rPr>
      <t xml:space="preserve">' </t>
    </r>
    <r>
      <rPr>
        <sz val="10"/>
        <rFont val="Noto Sans CJK SC"/>
        <family val="2"/>
      </rPr>
      <t xml:space="preserve">시트에 특정 상호작용에서 동행자와의 관계를 어떻게 느꼈는지 문장으로 적습니다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변화가 없었다면 없었다고 적어도 됩니다</t>
    </r>
    <r>
      <rPr>
        <sz val="10"/>
        <rFont val="Arial"/>
        <family val="0"/>
        <charset val="1"/>
      </rPr>
      <t xml:space="preserve">.</t>
    </r>
  </si>
  <si>
    <t xml:space="preserve">사진 기반 후보</t>
  </si>
  <si>
    <r>
      <rPr>
        <sz val="10"/>
        <rFont val="Noto Sans CJK SC"/>
        <family val="2"/>
      </rPr>
      <t xml:space="preserve">출처가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사진에서 관찰된 후보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인 줄은 </t>
    </r>
    <r>
      <rPr>
        <sz val="10"/>
        <rFont val="Arial"/>
        <family val="0"/>
        <charset val="1"/>
      </rPr>
      <t xml:space="preserve">Claude</t>
    </r>
    <r>
      <rPr>
        <sz val="10"/>
        <rFont val="Noto Sans CJK SC"/>
        <family val="2"/>
      </rPr>
      <t xml:space="preserve">가 사진을 보고 제안한 것입니다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실제 기록이 아니므로 확인 후 확정하거나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제외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바꾸세요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</si>
  <si>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장면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</si>
  <si>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사건</t>
  </si>
  <si>
    <t xml:space="preserve">순서</t>
  </si>
  <si>
    <t xml:space="preserve">구간</t>
  </si>
  <si>
    <r>
      <rPr>
        <b val="true"/>
        <sz val="10"/>
        <color rgb="FFFFFFFF"/>
        <rFont val="Noto Sans CJK SC"/>
        <family val="2"/>
      </rPr>
      <t xml:space="preserve">장면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장소</t>
    </r>
  </si>
  <si>
    <t xml:space="preserve">시각</t>
  </si>
  <si>
    <t xml:space="preserve">시각 근거</t>
  </si>
  <si>
    <r>
      <rPr>
        <b val="true"/>
        <sz val="10"/>
        <color rgb="FFFFFFFF"/>
        <rFont val="Arial"/>
        <family val="0"/>
        <charset val="1"/>
      </rPr>
      <t xml:space="preserve">P (</t>
    </r>
    <r>
      <rPr>
        <b val="true"/>
        <sz val="10"/>
        <color rgb="FFFFFFFF"/>
        <rFont val="Noto Sans CJK SC"/>
        <family val="2"/>
      </rPr>
      <t xml:space="preserve">공간적 예상 밖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</si>
  <si>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포스터의 </t>
    </r>
    <r>
      <rPr>
        <b val="true"/>
        <sz val="10"/>
        <color rgb="FFFFFFFF"/>
        <rFont val="Arial"/>
        <family val="0"/>
        <charset val="1"/>
      </rPr>
      <t xml:space="preserve">P·I </t>
    </r>
    <r>
      <rPr>
        <b val="true"/>
        <sz val="10"/>
        <color rgb="FFFFFFFF"/>
        <rFont val="Noto Sans CJK SC"/>
        <family val="2"/>
      </rPr>
      <t xml:space="preserve">표기</t>
    </r>
  </si>
  <si>
    <t xml:space="preserve">감정 종류</t>
  </si>
  <si>
    <t xml:space="preserve">감정 종류 근거</t>
  </si>
  <si>
    <r>
      <rPr>
        <b val="true"/>
        <sz val="10"/>
        <color rgb="FFFFFFFF"/>
        <rFont val="Noto Sans CJK SC"/>
        <family val="2"/>
      </rPr>
      <t xml:space="preserve">감정 강도 </t>
    </r>
    <r>
      <rPr>
        <b val="true"/>
        <sz val="10"/>
        <color rgb="FFFFFFFF"/>
        <rFont val="Arial"/>
        <family val="0"/>
        <charset val="1"/>
      </rPr>
      <t xml:space="preserve">(−2~+2)</t>
    </r>
  </si>
  <si>
    <t xml:space="preserve">대표 대화</t>
  </si>
  <si>
    <t xml:space="preserve">사진 파일</t>
  </si>
  <si>
    <t xml:space="preserve">메모</t>
  </si>
  <si>
    <t xml:space="preserve">A-0</t>
  </si>
  <si>
    <t xml:space="preserve">A</t>
  </si>
  <si>
    <t xml:space="preserve">걷기</t>
  </si>
  <si>
    <r>
      <rPr>
        <sz val="10"/>
        <rFont val="Noto Sans CJK SC"/>
        <family val="2"/>
      </rPr>
      <t xml:space="preserve">출발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닫힌 카페 확인</t>
    </r>
  </si>
  <si>
    <t xml:space="preserve">미확인</t>
  </si>
  <si>
    <t xml:space="preserve">확인 필요</t>
  </si>
  <si>
    <t xml:space="preserve">P</t>
  </si>
  <si>
    <r>
      <rPr>
        <sz val="10"/>
        <rFont val="Noto Sans CJK SC"/>
        <family val="2"/>
      </rPr>
      <t xml:space="preserve">당황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혼란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불안</t>
    </r>
  </si>
  <si>
    <r>
      <rPr>
        <sz val="10"/>
        <rFont val="Noto Sans CJK SC"/>
        <family val="2"/>
      </rPr>
      <t xml:space="preserve">포스터 색 영역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확인 필요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</si>
  <si>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설마 오늘 문 닫은 거야</t>
    </r>
    <r>
      <rPr>
        <sz val="10"/>
        <rFont val="Arial"/>
        <family val="0"/>
        <charset val="1"/>
      </rPr>
      <t xml:space="preserve">?"</t>
    </r>
  </si>
  <si>
    <t xml:space="preserve">없음</t>
  </si>
  <si>
    <r>
      <rPr>
        <sz val="10"/>
        <rFont val="Noto Sans CJK SC"/>
        <family val="2"/>
      </rPr>
      <t xml:space="preserve">출발 시각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닫힌 카페 도착 시각 필요</t>
    </r>
  </si>
  <si>
    <t xml:space="preserve">A-1</t>
  </si>
  <si>
    <t xml:space="preserve">기념품샵</t>
  </si>
  <si>
    <t xml:space="preserve">13:16</t>
  </si>
  <si>
    <r>
      <rPr>
        <sz val="10"/>
        <rFont val="Noto Sans CJK SC"/>
        <family val="2"/>
      </rPr>
      <t xml:space="preserve">사진 시각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사용자 제공</t>
    </r>
    <r>
      <rPr>
        <sz val="10"/>
        <rFont val="Arial"/>
        <family val="0"/>
        <charset val="1"/>
      </rPr>
      <t xml:space="preserve">)</t>
    </r>
  </si>
  <si>
    <t xml:space="preserve">P, I</t>
  </si>
  <si>
    <r>
      <rPr>
        <sz val="10"/>
        <rFont val="Noto Sans CJK SC"/>
        <family val="2"/>
      </rPr>
      <t xml:space="preserve">안정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평온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</si>
  <si>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기념품샵 구경은 한 번 해야지</t>
    </r>
    <r>
      <rPr>
        <sz val="10"/>
        <rFont val="Arial"/>
        <family val="0"/>
        <charset val="1"/>
      </rPr>
      <t xml:space="preserve">!"</t>
    </r>
  </si>
  <si>
    <r>
      <rPr>
        <sz val="10"/>
        <rFont val="Noto Sans CJK SC"/>
        <family val="2"/>
      </rPr>
      <t xml:space="preserve">기념품샵</t>
    </r>
    <r>
      <rPr>
        <sz val="10"/>
        <rFont val="Arial"/>
        <family val="0"/>
        <charset val="1"/>
      </rPr>
      <t xml:space="preserve">1, </t>
    </r>
    <r>
      <rPr>
        <sz val="10"/>
        <rFont val="Noto Sans CJK SC"/>
        <family val="2"/>
      </rPr>
      <t xml:space="preserve">기념품샵</t>
    </r>
    <r>
      <rPr>
        <sz val="10"/>
        <rFont val="Arial"/>
        <family val="0"/>
        <charset val="1"/>
      </rPr>
      <t xml:space="preserve">2</t>
    </r>
  </si>
  <si>
    <r>
      <rPr>
        <sz val="10"/>
        <rFont val="Noto Sans CJK SC"/>
        <family val="2"/>
      </rPr>
      <t xml:space="preserve">포스터의 </t>
    </r>
    <r>
      <rPr>
        <sz val="10"/>
        <rFont val="Arial"/>
        <family val="0"/>
        <charset val="1"/>
      </rPr>
      <t xml:space="preserve">I</t>
    </r>
    <r>
      <rPr>
        <sz val="10"/>
        <rFont val="Noto Sans CJK SC"/>
        <family val="2"/>
      </rPr>
      <t xml:space="preserve">를 어떤 상호작용에 붙일지 지정 필요</t>
    </r>
  </si>
  <si>
    <t xml:space="preserve">A-2</t>
  </si>
  <si>
    <t xml:space="preserve">바다</t>
  </si>
  <si>
    <t xml:space="preserve">13:23</t>
  </si>
  <si>
    <r>
      <rPr>
        <sz val="10"/>
        <rFont val="Noto Sans CJK SC"/>
        <family val="2"/>
      </rPr>
      <t xml:space="preserve">기쁨의 시작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즐거움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</si>
  <si>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와 제주도 오고 바다를 제대로 처음 봐</t>
    </r>
    <r>
      <rPr>
        <sz val="10"/>
        <rFont val="Arial"/>
        <family val="0"/>
        <charset val="1"/>
      </rPr>
      <t xml:space="preserve">!"</t>
    </r>
  </si>
  <si>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1, </t>
    </r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2, </t>
    </r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3, </t>
    </r>
    <r>
      <rPr>
        <sz val="10"/>
        <rFont val="Noto Sans CJK SC"/>
        <family val="2"/>
      </rPr>
      <t xml:space="preserve">바다</t>
    </r>
    <r>
      <rPr>
        <sz val="10"/>
        <rFont val="Arial"/>
        <family val="0"/>
        <charset val="1"/>
      </rPr>
      <t xml:space="preserve">4</t>
    </r>
  </si>
  <si>
    <r>
      <rPr>
        <sz val="10"/>
        <rFont val="Noto Sans CJK SC"/>
        <family val="2"/>
      </rPr>
      <t xml:space="preserve">포스터</t>
    </r>
    <r>
      <rPr>
        <sz val="10"/>
        <rFont val="Arial"/>
        <family val="0"/>
        <charset val="1"/>
      </rPr>
      <t xml:space="preserve">: '</t>
    </r>
    <r>
      <rPr>
        <sz val="10"/>
        <rFont val="Noto Sans CJK SC"/>
        <family val="2"/>
      </rPr>
      <t xml:space="preserve">장기간 머무름</t>
    </r>
    <r>
      <rPr>
        <sz val="10"/>
        <rFont val="Arial"/>
        <family val="0"/>
        <charset val="1"/>
      </rPr>
      <t xml:space="preserve">'. </t>
    </r>
    <r>
      <rPr>
        <sz val="10"/>
        <rFont val="Noto Sans CJK SC"/>
        <family val="2"/>
      </rPr>
      <t xml:space="preserve">다음 장면까지 </t>
    </r>
    <r>
      <rPr>
        <sz val="10"/>
        <rFont val="Arial"/>
        <family val="0"/>
        <charset val="1"/>
      </rPr>
      <t xml:space="preserve">26</t>
    </r>
    <r>
      <rPr>
        <sz val="10"/>
        <rFont val="Noto Sans CJK SC"/>
        <family val="2"/>
      </rPr>
      <t xml:space="preserve">분</t>
    </r>
  </si>
  <si>
    <t xml:space="preserve">A-3</t>
  </si>
  <si>
    <t xml:space="preserve">선글라스 매장</t>
  </si>
  <si>
    <t xml:space="preserve">13:49</t>
  </si>
  <si>
    <r>
      <rPr>
        <sz val="10"/>
        <rFont val="Noto Sans CJK SC"/>
        <family val="2"/>
      </rPr>
      <t xml:space="preserve">기쁨의 시작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즐거움 </t>
    </r>
    <r>
      <rPr>
        <sz val="10"/>
        <rFont val="Arial"/>
        <family val="0"/>
        <charset val="1"/>
      </rPr>
      <t xml:space="preserve">~ </t>
    </r>
    <r>
      <rPr>
        <sz val="10"/>
        <rFont val="Noto Sans CJK SC"/>
        <family val="2"/>
      </rPr>
      <t xml:space="preserve">만족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행복감</t>
    </r>
  </si>
  <si>
    <r>
      <rPr>
        <sz val="10"/>
        <rFont val="Noto Sans CJK SC"/>
        <family val="2"/>
      </rPr>
      <t xml:space="preserve">포스터 색 경계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확인 필요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</si>
  <si>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이거 잘 어울려</t>
    </r>
    <r>
      <rPr>
        <sz val="10"/>
        <rFont val="Arial"/>
        <family val="0"/>
        <charset val="1"/>
      </rPr>
      <t xml:space="preserve">?"</t>
    </r>
  </si>
  <si>
    <t xml:space="preserve">A-4</t>
  </si>
  <si>
    <t xml:space="preserve">도착 후</t>
  </si>
  <si>
    <r>
      <rPr>
        <sz val="10"/>
        <rFont val="Noto Sans CJK SC"/>
        <family val="2"/>
      </rPr>
      <t xml:space="preserve">새로운 카페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도착</t>
    </r>
    <r>
      <rPr>
        <sz val="10"/>
        <rFont val="Arial"/>
        <family val="0"/>
        <charset val="1"/>
      </rPr>
      <t xml:space="preserve">)</t>
    </r>
  </si>
  <si>
    <t xml:space="preserve">14:10</t>
  </si>
  <si>
    <r>
      <rPr>
        <sz val="10"/>
        <rFont val="Noto Sans CJK SC"/>
        <family val="2"/>
      </rPr>
      <t xml:space="preserve">사진 시각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도착 시각 아님</t>
    </r>
  </si>
  <si>
    <r>
      <rPr>
        <sz val="10"/>
        <rFont val="Noto Sans CJK SC"/>
        <family val="2"/>
      </rPr>
      <t xml:space="preserve">만족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행복감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</si>
  <si>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여긴 원래 가려던 카페보다 전망이 좋다</t>
    </r>
    <r>
      <rPr>
        <sz val="10"/>
        <rFont val="Arial"/>
        <family val="0"/>
        <charset val="1"/>
      </rPr>
      <t xml:space="preserve">!"</t>
    </r>
  </si>
  <si>
    <r>
      <rPr>
        <sz val="10"/>
        <rFont val="Noto Sans CJK SC"/>
        <family val="2"/>
      </rPr>
      <t xml:space="preserve">새로운 카페</t>
    </r>
    <r>
      <rPr>
        <sz val="10"/>
        <rFont val="Arial"/>
        <family val="0"/>
        <charset val="1"/>
      </rPr>
      <t xml:space="preserve">1, </t>
    </r>
    <r>
      <rPr>
        <sz val="10"/>
        <rFont val="Noto Sans CJK SC"/>
        <family val="2"/>
      </rPr>
      <t xml:space="preserve">새로운 카페</t>
    </r>
    <r>
      <rPr>
        <sz val="10"/>
        <rFont val="Arial"/>
        <family val="0"/>
        <charset val="1"/>
      </rPr>
      <t xml:space="preserve">2, </t>
    </r>
    <r>
      <rPr>
        <sz val="10"/>
        <rFont val="Noto Sans CJK SC"/>
        <family val="2"/>
      </rPr>
      <t xml:space="preserve">새로운 카페</t>
    </r>
    <r>
      <rPr>
        <sz val="10"/>
        <rFont val="Arial"/>
        <family val="0"/>
        <charset val="1"/>
      </rPr>
      <t xml:space="preserve">3</t>
    </r>
  </si>
  <si>
    <r>
      <rPr>
        <sz val="10"/>
        <rFont val="Noto Sans CJK SC"/>
        <family val="2"/>
      </rPr>
      <t xml:space="preserve">정확한 도착 시각 필요 </t>
    </r>
    <r>
      <rPr>
        <sz val="10"/>
        <rFont val="Arial"/>
        <family val="0"/>
        <charset val="1"/>
      </rPr>
      <t xml:space="preserve">(14:10 </t>
    </r>
    <r>
      <rPr>
        <sz val="10"/>
        <rFont val="Noto Sans CJK SC"/>
        <family val="2"/>
      </rPr>
      <t xml:space="preserve">이전일 수 있음</t>
    </r>
    <r>
      <rPr>
        <sz val="10"/>
        <rFont val="Arial"/>
        <family val="0"/>
        <charset val="1"/>
      </rPr>
      <t xml:space="preserve">)</t>
    </r>
  </si>
  <si>
    <t xml:space="preserve">B-0</t>
  </si>
  <si>
    <t xml:space="preserve">B</t>
  </si>
  <si>
    <r>
      <rPr>
        <sz val="10"/>
        <rFont val="Noto Sans CJK SC"/>
        <family val="2"/>
      </rPr>
      <t xml:space="preserve">출발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도보 이동 결정</t>
    </r>
  </si>
  <si>
    <r>
      <rPr>
        <sz val="10"/>
        <rFont val="Arial"/>
        <family val="0"/>
        <charset val="1"/>
      </rPr>
      <t xml:space="preserve">19:00</t>
    </r>
    <r>
      <rPr>
        <sz val="10"/>
        <rFont val="Noto Sans CJK SC"/>
        <family val="2"/>
      </rPr>
      <t xml:space="preserve">경</t>
    </r>
  </si>
  <si>
    <t xml:space="preserve">사용자 제공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</si>
  <si>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식당이 가까우니까 걸어서 가자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</si>
  <si>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계획 도착 시점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출발 </t>
    </r>
    <r>
      <rPr>
        <sz val="10"/>
        <rFont val="Arial"/>
        <family val="0"/>
        <charset val="1"/>
      </rPr>
      <t xml:space="preserve">+ 8</t>
    </r>
    <r>
      <rPr>
        <sz val="10"/>
        <rFont val="Noto Sans CJK SC"/>
        <family val="2"/>
      </rPr>
      <t xml:space="preserve">분</t>
    </r>
  </si>
  <si>
    <t xml:space="preserve">B-1</t>
  </si>
  <si>
    <r>
      <rPr>
        <sz val="10"/>
        <rFont val="Noto Sans CJK SC"/>
        <family val="2"/>
      </rPr>
      <t xml:space="preserve">돌담길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이동 중</t>
    </r>
  </si>
  <si>
    <t xml:space="preserve">19:00~19:20</t>
  </si>
  <si>
    <r>
      <rPr>
        <sz val="10"/>
        <rFont val="Noto Sans CJK SC"/>
        <family val="2"/>
      </rPr>
      <t xml:space="preserve">사진별 시각 없음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순서 기준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</si>
  <si>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이런 길 보니까 제주도 온 느낌 난다</t>
    </r>
    <r>
      <rPr>
        <sz val="10"/>
        <rFont val="Arial"/>
        <family val="0"/>
        <charset val="1"/>
      </rPr>
      <t xml:space="preserve">."</t>
    </r>
  </si>
  <si>
    <r>
      <rPr>
        <sz val="10"/>
        <rFont val="Noto Sans CJK SC"/>
        <family val="2"/>
      </rPr>
      <t xml:space="preserve">이동 사진</t>
    </r>
    <r>
      <rPr>
        <sz val="10"/>
        <rFont val="Arial"/>
        <family val="0"/>
        <charset val="1"/>
      </rPr>
      <t xml:space="preserve">1~6</t>
    </r>
  </si>
  <si>
    <t xml:space="preserve">사진별로 장면을 나눌지 결정 필요</t>
  </si>
  <si>
    <t xml:space="preserve">B-2</t>
  </si>
  <si>
    <t xml:space="preserve">식당 도착 순간</t>
  </si>
  <si>
    <t xml:space="preserve">19:20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</si>
  <si>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배고프긴 한데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벌써 도착한 게 조금 아쉽다</t>
    </r>
    <r>
      <rPr>
        <sz val="10"/>
        <rFont val="Arial"/>
        <family val="0"/>
        <charset val="1"/>
      </rPr>
      <t xml:space="preserve">!"</t>
    </r>
  </si>
  <si>
    <t xml:space="preserve">발화 시점 확인 전까지 구간 미확정</t>
  </si>
  <si>
    <t xml:space="preserve">B-3</t>
  </si>
  <si>
    <t xml:space="preserve">식당 안</t>
  </si>
  <si>
    <r>
      <rPr>
        <sz val="10"/>
        <rFont val="Arial"/>
        <family val="0"/>
        <charset val="1"/>
      </rPr>
      <t xml:space="preserve">19:20 </t>
    </r>
    <r>
      <rPr>
        <sz val="10"/>
        <rFont val="Noto Sans CJK SC"/>
        <family val="2"/>
      </rPr>
      <t xml:space="preserve">이후</t>
    </r>
  </si>
  <si>
    <t xml:space="preserve">식당 도착</t>
  </si>
  <si>
    <r>
      <rPr>
        <b val="true"/>
        <sz val="10"/>
        <color rgb="FFFFFFFF"/>
        <rFont val="Noto Sans CJK SC"/>
        <family val="2"/>
      </rPr>
      <t xml:space="preserve">상호작용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</si>
  <si>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유형</t>
  </si>
  <si>
    <t xml:space="preserve">행동 설명</t>
  </si>
  <si>
    <t xml:space="preserve">대화 인용</t>
  </si>
  <si>
    <r>
      <rPr>
        <b val="true"/>
        <sz val="10"/>
        <color rgb="FFFFFFFF"/>
        <rFont val="Arial"/>
        <family val="0"/>
        <charset val="1"/>
      </rPr>
      <t xml:space="preserve">I (</t>
    </r>
    <r>
      <rPr>
        <b val="true"/>
        <sz val="10"/>
        <color rgb="FFFFFFFF"/>
        <rFont val="Noto Sans CJK SC"/>
        <family val="2"/>
      </rPr>
      <t xml:space="preserve">상호작용적 예상 밖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</si>
  <si>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출처</t>
  </si>
  <si>
    <t xml:space="preserve">A0-1</t>
  </si>
  <si>
    <t xml:space="preserve">카페가 닫힌 것을 확인하며 나눈 대화</t>
  </si>
  <si>
    <r>
      <rPr>
        <sz val="10"/>
        <rFont val="Noto Sans CJK SC"/>
        <family val="2"/>
      </rPr>
      <t xml:space="preserve">기존 포스터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그래프 인용</t>
    </r>
    <r>
      <rPr>
        <sz val="10"/>
        <rFont val="Arial"/>
        <family val="0"/>
        <charset val="1"/>
      </rPr>
      <t xml:space="preserve">)</t>
    </r>
  </si>
  <si>
    <t xml:space="preserve">미검토</t>
  </si>
  <si>
    <r>
      <rPr>
        <sz val="10"/>
        <rFont val="Noto Sans CJK SC"/>
        <family val="2"/>
      </rPr>
      <t xml:space="preserve">포스터에 기호 없이 인용만 있음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유형 지정 필요</t>
    </r>
  </si>
  <si>
    <t xml:space="preserve">상호작용</t>
  </si>
  <si>
    <t xml:space="preserve">A0-2</t>
  </si>
  <si>
    <t xml:space="preserve">△</t>
  </si>
  <si>
    <t xml:space="preserve">계속 걸어 보자는 제안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</si>
  <si>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그럼 좀 더 걸어 볼까</t>
    </r>
    <r>
      <rPr>
        <sz val="10"/>
        <rFont val="Arial"/>
        <family val="0"/>
        <charset val="1"/>
      </rPr>
      <t xml:space="preserve">?"</t>
    </r>
  </si>
  <si>
    <t xml:space="preserve">기존 포스터</t>
  </si>
  <si>
    <r>
      <rPr>
        <sz val="10"/>
        <rFont val="Noto Sans CJK SC"/>
        <family val="2"/>
      </rPr>
      <t xml:space="preserve">포스터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부정→긍정 전환의 계기</t>
    </r>
  </si>
  <si>
    <t xml:space="preserve">A1-1</t>
  </si>
  <si>
    <t xml:space="preserve">○</t>
  </si>
  <si>
    <t xml:space="preserve">새로운 장소 발견</t>
  </si>
  <si>
    <t xml:space="preserve">A1-2</t>
  </si>
  <si>
    <t xml:space="preserve">□</t>
  </si>
  <si>
    <t xml:space="preserve">기념품 함께 구경</t>
  </si>
  <si>
    <t xml:space="preserve">A1-3</t>
  </si>
  <si>
    <t xml:space="preserve">♥</t>
  </si>
  <si>
    <t xml:space="preserve">마음에 드는 물건 공유</t>
  </si>
  <si>
    <t xml:space="preserve">A2-1</t>
  </si>
  <si>
    <t xml:space="preserve">바다를 발견하고 감탄</t>
  </si>
  <si>
    <t xml:space="preserve">A2-2</t>
  </si>
  <si>
    <t xml:space="preserve">바다 앞에서 함께 사진 촬영</t>
  </si>
  <si>
    <t xml:space="preserve">A2-3</t>
  </si>
  <si>
    <t xml:space="preserve">예상치 못한 풍경에 대한 기쁨 공유</t>
  </si>
  <si>
    <t xml:space="preserve">A3-1</t>
  </si>
  <si>
    <t xml:space="preserve">대형 고양이 인형을 보고 궁금해져서 입장</t>
  </si>
  <si>
    <t xml:space="preserve">A3-2</t>
  </si>
  <si>
    <t xml:space="preserve">선글라스를 써 보며 함께 구경</t>
  </si>
  <si>
    <t xml:space="preserve">A3-3</t>
  </si>
  <si>
    <t xml:space="preserve">어울림에 대한 반응 공유</t>
  </si>
  <si>
    <t xml:space="preserve">A3-4</t>
  </si>
  <si>
    <t xml:space="preserve">새 카페로 가자는 제안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</si>
  <si>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여기로 가자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</si>
  <si>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선글라스 매장 이후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정확한 위치 확인</t>
    </r>
  </si>
  <si>
    <t xml:space="preserve">A4-1</t>
  </si>
  <si>
    <t xml:space="preserve">음료를 마시며 쉼</t>
  </si>
  <si>
    <r>
      <rPr>
        <sz val="10"/>
        <rFont val="Noto Sans CJK SC"/>
        <family val="2"/>
      </rPr>
      <t xml:space="preserve">도착 후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밀도 제외</t>
    </r>
  </si>
  <si>
    <t xml:space="preserve">A4-2</t>
  </si>
  <si>
    <t xml:space="preserve">만족감 공유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</si>
  <si>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여기 오길 잘했다</t>
    </r>
    <r>
      <rPr>
        <sz val="10"/>
        <rFont val="Arial"/>
        <family val="0"/>
        <charset val="1"/>
      </rPr>
      <t xml:space="preserve">"</t>
    </r>
  </si>
  <si>
    <r>
      <rPr>
        <sz val="10"/>
        <rFont val="Noto Sans CJK SC"/>
        <family val="2"/>
      </rPr>
      <t xml:space="preserve">사용자 결정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카페 안 발화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도착 후</t>
    </r>
  </si>
  <si>
    <t xml:space="preserve">B0-1</t>
  </si>
  <si>
    <t xml:space="preserve">식당까지 걸어가자는 제안</t>
  </si>
  <si>
    <t xml:space="preserve">B1-1</t>
  </si>
  <si>
    <r>
      <rPr>
        <sz val="10"/>
        <rFont val="Noto Sans CJK SC"/>
        <family val="2"/>
      </rPr>
      <t xml:space="preserve">제주도스러운 돌담길 발견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감탄</t>
    </r>
  </si>
  <si>
    <t xml:space="preserve">B1-2</t>
  </si>
  <si>
    <r>
      <rPr>
        <sz val="10"/>
        <rFont val="Noto Sans CJK SC"/>
        <family val="2"/>
      </rPr>
      <t xml:space="preserve">함께 돌담길을 걸으며 구경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사진 촬영</t>
    </r>
  </si>
  <si>
    <t xml:space="preserve">B1-3</t>
  </si>
  <si>
    <t xml:space="preserve">제주에 온 느낌 공유</t>
  </si>
  <si>
    <t xml:space="preserve">B1-4</t>
  </si>
  <si>
    <t xml:space="preserve">음악 감상</t>
  </si>
  <si>
    <r>
      <rPr>
        <sz val="10"/>
        <rFont val="Noto Sans CJK SC"/>
        <family val="2"/>
      </rPr>
      <t xml:space="preserve">기획안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포스터에 없음</t>
    </r>
    <r>
      <rPr>
        <sz val="10"/>
        <rFont val="Arial"/>
        <family val="0"/>
        <charset val="1"/>
      </rPr>
      <t xml:space="preserve">)</t>
    </r>
  </si>
  <si>
    <t xml:space="preserve">친구와 함께 듣거나 대화한 것이 확인되면 상호작용으로 변경</t>
  </si>
  <si>
    <t xml:space="preserve">개인 경험</t>
  </si>
  <si>
    <t xml:space="preserve">B1-5</t>
  </si>
  <si>
    <t xml:space="preserve">노을 감상</t>
  </si>
  <si>
    <t xml:space="preserve">함께 이야기하거나 행동한 것이 확인되면 상호작용으로 변경</t>
  </si>
  <si>
    <t xml:space="preserve">B1-6</t>
  </si>
  <si>
    <t xml:space="preserve">같은 포즈를 취하며 함께 사진 촬영</t>
  </si>
  <si>
    <r>
      <rPr>
        <sz val="10"/>
        <rFont val="Noto Sans CJK SC"/>
        <family val="2"/>
      </rPr>
      <t xml:space="preserve">사진에서 관찰된 후보 </t>
    </r>
    <r>
      <rPr>
        <sz val="10"/>
        <rFont val="Arial"/>
        <family val="0"/>
        <charset val="1"/>
      </rPr>
      <t xml:space="preserve">(Claude)</t>
    </r>
  </si>
  <si>
    <r>
      <rPr>
        <sz val="10"/>
        <rFont val="Noto Sans CJK SC"/>
        <family val="2"/>
      </rPr>
      <t xml:space="preserve">실제 기록 아님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확인 후 확정 또는 제외</t>
    </r>
  </si>
  <si>
    <t xml:space="preserve">B1-7</t>
  </si>
  <si>
    <t xml:space="preserve">볼록거울에 비친 모습을 함께 촬영</t>
  </si>
  <si>
    <r>
      <rPr>
        <sz val="10"/>
        <rFont val="Arial"/>
        <family val="0"/>
        <charset val="1"/>
      </rPr>
      <t xml:space="preserve">B1-2</t>
    </r>
    <r>
      <rPr>
        <sz val="10"/>
        <rFont val="Noto Sans CJK SC"/>
        <family val="2"/>
      </rPr>
      <t xml:space="preserve">와 같은 행동인지 확인</t>
    </r>
  </si>
  <si>
    <t xml:space="preserve">B2-1</t>
  </si>
  <si>
    <t xml:space="preserve">걷기가 끝나는 아쉬움 공유</t>
  </si>
  <si>
    <t xml:space="preserve">발화 시점 확인 전까지 걷기 구간으로 확정하지 않음</t>
  </si>
  <si>
    <t xml:space="preserve">B3-1</t>
  </si>
  <si>
    <t xml:space="preserve">함께 식사하기</t>
  </si>
  <si>
    <r>
      <rPr>
        <b val="true"/>
        <sz val="10"/>
        <color rgb="FFFFFFFF"/>
        <rFont val="Noto Sans CJK SC"/>
        <family val="2"/>
      </rPr>
      <t xml:space="preserve">연결된 상호작용 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</si>
  <si>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그 순간의 상호작용</t>
  </si>
  <si>
    <t xml:space="preserve">회고 질문</t>
  </si>
  <si>
    <r>
      <rPr>
        <b val="true"/>
        <sz val="10"/>
        <color rgb="FFFFFFFF"/>
        <rFont val="Noto Sans CJK SC"/>
        <family val="2"/>
      </rPr>
      <t xml:space="preserve">회고 서술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직접 작성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</si>
  <si>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느낀 감정</t>
    </r>
    <r>
      <rPr>
        <b val="true"/>
        <sz val="10"/>
        <color rgb="FFFFFFFF"/>
        <rFont val="Arial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유대의 키워드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선택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</si>
  <si>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△ 계속 걸어 보자는 제안</t>
  </si>
  <si>
    <r>
      <rPr>
        <sz val="10"/>
        <rFont val="Noto Sans CJK SC"/>
        <family val="2"/>
      </rPr>
      <t xml:space="preserve">당황한 상황에서 이 제안을 들었을 때 동행자를 어떻게 느꼈나요</t>
    </r>
    <r>
      <rPr>
        <sz val="10"/>
        <rFont val="Arial"/>
        <family val="0"/>
        <charset val="1"/>
      </rPr>
      <t xml:space="preserve">?</t>
    </r>
  </si>
  <si>
    <t xml:space="preserve">A1-2, A1-3</t>
  </si>
  <si>
    <r>
      <rPr>
        <sz val="10"/>
        <rFont val="Noto Sans CJK SC"/>
        <family val="2"/>
      </rPr>
      <t xml:space="preserve">□ 기념품 함께 구경 </t>
    </r>
    <r>
      <rPr>
        <sz val="10"/>
        <rFont val="Arial"/>
        <family val="0"/>
        <charset val="1"/>
      </rPr>
      <t xml:space="preserve">/ ♥ </t>
    </r>
    <r>
      <rPr>
        <sz val="10"/>
        <rFont val="Noto Sans CJK SC"/>
        <family val="2"/>
      </rPr>
      <t xml:space="preserve">물건 공유</t>
    </r>
  </si>
  <si>
    <r>
      <rPr>
        <sz val="10"/>
        <rFont val="Noto Sans CJK SC"/>
        <family val="2"/>
      </rPr>
      <t xml:space="preserve">이 순간 동행자와의 관계를 어떻게 느꼈나요</t>
    </r>
    <r>
      <rPr>
        <sz val="10"/>
        <rFont val="Arial"/>
        <family val="0"/>
        <charset val="1"/>
      </rPr>
      <t xml:space="preserve">? </t>
    </r>
    <r>
      <rPr>
        <sz val="10"/>
        <rFont val="Noto Sans CJK SC"/>
        <family val="2"/>
      </rPr>
      <t xml:space="preserve">달라진 점이 없었다면 그대로 적어 주세요</t>
    </r>
    <r>
      <rPr>
        <sz val="10"/>
        <rFont val="Arial"/>
        <family val="0"/>
        <charset val="1"/>
      </rPr>
      <t xml:space="preserve">.</t>
    </r>
  </si>
  <si>
    <t xml:space="preserve">A2-1, A2-2, A2-3</t>
  </si>
  <si>
    <r>
      <rPr>
        <sz val="10"/>
        <rFont val="Noto Sans CJK SC"/>
        <family val="2"/>
      </rPr>
      <t xml:space="preserve">○ 바다 발견 </t>
    </r>
    <r>
      <rPr>
        <sz val="10"/>
        <rFont val="Arial"/>
        <family val="0"/>
        <charset val="1"/>
      </rPr>
      <t xml:space="preserve">/ □ </t>
    </r>
    <r>
      <rPr>
        <sz val="10"/>
        <rFont val="Noto Sans CJK SC"/>
        <family val="2"/>
      </rPr>
      <t xml:space="preserve">함께 사진 </t>
    </r>
    <r>
      <rPr>
        <sz val="10"/>
        <rFont val="Arial"/>
        <family val="0"/>
        <charset val="1"/>
      </rPr>
      <t xml:space="preserve">/ ♥ </t>
    </r>
    <r>
      <rPr>
        <sz val="10"/>
        <rFont val="Noto Sans CJK SC"/>
        <family val="2"/>
      </rPr>
      <t xml:space="preserve">기쁨 공유</t>
    </r>
  </si>
  <si>
    <t xml:space="preserve">A3-2, A3-3</t>
  </si>
  <si>
    <r>
      <rPr>
        <sz val="10"/>
        <rFont val="Noto Sans CJK SC"/>
        <family val="2"/>
      </rPr>
      <t xml:space="preserve">□ 선글라스 구경 </t>
    </r>
    <r>
      <rPr>
        <sz val="10"/>
        <rFont val="Arial"/>
        <family val="0"/>
        <charset val="1"/>
      </rPr>
      <t xml:space="preserve">/ ♥ </t>
    </r>
    <r>
      <rPr>
        <sz val="10"/>
        <rFont val="Noto Sans CJK SC"/>
        <family val="2"/>
      </rPr>
      <t xml:space="preserve">어울림 반응</t>
    </r>
  </si>
  <si>
    <t xml:space="preserve">B1-1, B1-2, B1-3</t>
  </si>
  <si>
    <r>
      <rPr>
        <sz val="10"/>
        <rFont val="Noto Sans CJK SC"/>
        <family val="2"/>
      </rPr>
      <t xml:space="preserve">○ 돌담길 감탄 </t>
    </r>
    <r>
      <rPr>
        <sz val="10"/>
        <rFont val="Arial"/>
        <family val="0"/>
        <charset val="1"/>
      </rPr>
      <t xml:space="preserve">/ □ </t>
    </r>
    <r>
      <rPr>
        <sz val="10"/>
        <rFont val="Noto Sans CJK SC"/>
        <family val="2"/>
      </rPr>
      <t xml:space="preserve">함께 구경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사진 </t>
    </r>
    <r>
      <rPr>
        <sz val="10"/>
        <rFont val="Arial"/>
        <family val="0"/>
        <charset val="1"/>
      </rPr>
      <t xml:space="preserve">/ ♥ </t>
    </r>
    <r>
      <rPr>
        <sz val="10"/>
        <rFont val="Noto Sans CJK SC"/>
        <family val="2"/>
      </rPr>
      <t xml:space="preserve">제주 느낌 공유</t>
    </r>
  </si>
  <si>
    <t xml:space="preserve">♥ 걷기가 끝나는 아쉬움 공유</t>
  </si>
  <si>
    <r>
      <rPr>
        <sz val="10"/>
        <rFont val="Noto Sans CJK SC"/>
        <family val="2"/>
      </rPr>
      <t xml:space="preserve">걷기가 끝날 때 아쉬움을 함께 말한 것은 어떤 의미였나요</t>
    </r>
    <r>
      <rPr>
        <sz val="10"/>
        <rFont val="Arial"/>
        <family val="0"/>
        <charset val="1"/>
      </rPr>
      <t xml:space="preserve">?</t>
    </r>
  </si>
  <si>
    <r>
      <rPr>
        <b val="true"/>
        <sz val="12"/>
        <rFont val="Noto Sans CJK SC"/>
        <family val="2"/>
      </rPr>
      <t xml:space="preserve">경험의 밀도 요약 </t>
    </r>
    <r>
      <rPr>
        <b val="true"/>
        <sz val="12"/>
        <rFont val="Arial"/>
        <family val="0"/>
        <charset val="1"/>
      </rPr>
      <t xml:space="preserve">· '</t>
    </r>
    <r>
      <rPr>
        <b val="true"/>
        <sz val="12"/>
        <rFont val="Noto Sans CJK SC"/>
        <family val="2"/>
      </rPr>
      <t xml:space="preserve">확정</t>
    </r>
    <r>
      <rPr>
        <b val="true"/>
        <sz val="12"/>
        <rFont val="Arial"/>
        <family val="0"/>
        <charset val="1"/>
      </rPr>
      <t xml:space="preserve">' + '</t>
    </r>
    <r>
      <rPr>
        <b val="true"/>
        <sz val="12"/>
        <rFont val="Noto Sans CJK SC"/>
        <family val="2"/>
      </rPr>
      <t xml:space="preserve">걷기</t>
    </r>
    <r>
      <rPr>
        <b val="true"/>
        <sz val="12"/>
        <rFont val="Arial"/>
        <family val="0"/>
        <charset val="1"/>
      </rPr>
      <t xml:space="preserve">' </t>
    </r>
    <r>
      <rPr>
        <b val="true"/>
        <sz val="12"/>
        <rFont val="Noto Sans CJK SC"/>
        <family val="2"/>
      </rPr>
      <t xml:space="preserve">구간만 집계</t>
    </r>
  </si>
  <si>
    <t xml:space="preserve">항목</t>
  </si>
  <si>
    <r>
      <rPr>
        <b val="true"/>
        <sz val="10"/>
        <color rgb="FFFFFFFF"/>
        <rFont val="Noto Sans CJK SC"/>
        <family val="2"/>
      </rPr>
      <t xml:space="preserve">사건 </t>
    </r>
    <r>
      <rPr>
        <b val="true"/>
        <sz val="10"/>
        <color rgb="FFFFFFFF"/>
        <rFont val="Arial"/>
        <family val="0"/>
        <charset val="1"/>
      </rPr>
      <t xml:space="preserve">A</t>
    </r>
  </si>
  <si>
    <r>
      <rPr>
        <b val="true"/>
        <sz val="10"/>
        <color rgb="FFFFFFFF"/>
        <rFont val="Noto Sans CJK SC"/>
        <family val="2"/>
      </rPr>
      <t xml:space="preserve">사건 </t>
    </r>
    <r>
      <rPr>
        <b val="true"/>
        <sz val="10"/>
        <color rgb="FFFFFFFF"/>
        <rFont val="Arial"/>
        <family val="0"/>
        <charset val="1"/>
      </rPr>
      <t xml:space="preserve">B</t>
    </r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</si>
  <si>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메모</t>
    </r>
  </si>
  <si>
    <t xml:space="preserve">걷기 출발 시각</t>
  </si>
  <si>
    <r>
      <rPr>
        <sz val="10"/>
        <rFont val="Arial"/>
        <family val="0"/>
        <charset val="1"/>
      </rPr>
      <t xml:space="preserve">A: </t>
    </r>
    <r>
      <rPr>
        <sz val="10"/>
        <rFont val="Noto Sans CJK SC"/>
        <family val="2"/>
      </rPr>
      <t xml:space="preserve">미확인 </t>
    </r>
    <r>
      <rPr>
        <sz val="10"/>
        <rFont val="Arial"/>
        <family val="0"/>
        <charset val="1"/>
      </rPr>
      <t xml:space="preserve">/ B: </t>
    </r>
    <r>
      <rPr>
        <sz val="10"/>
        <rFont val="Noto Sans CJK SC"/>
        <family val="2"/>
      </rPr>
      <t xml:space="preserve">사용자 제공 </t>
    </r>
    <r>
      <rPr>
        <sz val="10"/>
        <rFont val="Arial"/>
        <family val="0"/>
        <charset val="1"/>
      </rPr>
      <t xml:space="preserve">'19:00</t>
    </r>
    <r>
      <rPr>
        <sz val="10"/>
        <rFont val="Noto Sans CJK SC"/>
        <family val="2"/>
      </rPr>
      <t xml:space="preserve">쯤</t>
    </r>
    <r>
      <rPr>
        <sz val="10"/>
        <rFont val="Arial"/>
        <family val="0"/>
        <charset val="1"/>
      </rPr>
      <t xml:space="preserve">'</t>
    </r>
  </si>
  <si>
    <t xml:space="preserve">목적지 도착 시각</t>
  </si>
  <si>
    <r>
      <rPr>
        <sz val="10"/>
        <rFont val="Arial"/>
        <family val="0"/>
        <charset val="1"/>
      </rPr>
      <t xml:space="preserve">A: </t>
    </r>
    <r>
      <rPr>
        <sz val="10"/>
        <rFont val="Noto Sans CJK SC"/>
        <family val="2"/>
      </rPr>
      <t xml:space="preserve">새 카페 도착 시각 미확인 </t>
    </r>
    <r>
      <rPr>
        <sz val="10"/>
        <rFont val="Arial"/>
        <family val="0"/>
        <charset val="1"/>
      </rPr>
      <t xml:space="preserve">(14:10</t>
    </r>
    <r>
      <rPr>
        <sz val="10"/>
        <rFont val="Noto Sans CJK SC"/>
        <family val="2"/>
      </rPr>
      <t xml:space="preserve">은 사진 시각</t>
    </r>
    <r>
      <rPr>
        <sz val="10"/>
        <rFont val="Arial"/>
        <family val="0"/>
        <charset val="1"/>
      </rPr>
      <t xml:space="preserve">) / B: </t>
    </r>
    <r>
      <rPr>
        <sz val="10"/>
        <rFont val="Noto Sans CJK SC"/>
        <family val="2"/>
      </rPr>
      <t xml:space="preserve">사용자 제공</t>
    </r>
  </si>
  <si>
    <r>
      <rPr>
        <b val="true"/>
        <sz val="10"/>
        <rFont val="Noto Sans CJK SC"/>
        <family val="2"/>
      </rPr>
      <t xml:space="preserve">걷기 시간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</si>
  <si>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도착 − 출발 </t>
    </r>
    <r>
      <rPr>
        <sz val="10"/>
        <rFont val="Arial"/>
        <family val="0"/>
        <charset val="1"/>
      </rPr>
      <t xml:space="preserve">· </t>
    </r>
    <r>
      <rPr>
        <sz val="10"/>
        <rFont val="Noto Sans CJK SC"/>
        <family val="2"/>
      </rPr>
      <t xml:space="preserve">시각이 비면 계산하지 않음</t>
    </r>
  </si>
  <si>
    <r>
      <rPr>
        <b val="true"/>
        <sz val="10"/>
        <rFont val="Noto Sans CJK SC"/>
        <family val="2"/>
      </rPr>
      <t xml:space="preserve">△ 이동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계획 대화</t>
    </r>
  </si>
  <si>
    <t xml:space="preserve">상호작용 시트에서 자동 집계</t>
  </si>
  <si>
    <r>
      <rPr>
        <b val="true"/>
        <sz val="10"/>
        <rFont val="Noto Sans CJK SC"/>
        <family val="2"/>
      </rPr>
      <t xml:space="preserve">○ 상황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발견 대화</t>
    </r>
  </si>
  <si>
    <t xml:space="preserve">□ 공동 행동</t>
  </si>
  <si>
    <t xml:space="preserve">♥ 감정 공유</t>
  </si>
  <si>
    <r>
      <rPr>
        <b val="true"/>
        <sz val="10"/>
        <rFont val="Noto Sans CJK SC"/>
        <family val="2"/>
      </rPr>
      <t xml:space="preserve">상호작용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걷기 구간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</si>
  <si>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Noto Sans CJK SC"/>
        <family val="2"/>
      </rPr>
      <t xml:space="preserve">분당 상호작용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경험의 밀도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</si>
  <si>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합계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걷기 시간 </t>
    </r>
    <r>
      <rPr>
        <sz val="10"/>
        <rFont val="Arial"/>
        <family val="0"/>
        <charset val="1"/>
      </rPr>
      <t xml:space="preserve">× 10</t>
    </r>
  </si>
  <si>
    <r>
      <rPr>
        <b val="true"/>
        <sz val="10"/>
        <rFont val="Arial"/>
        <family val="0"/>
        <charset val="1"/>
      </rPr>
      <t xml:space="preserve">I (</t>
    </r>
    <r>
      <rPr>
        <b val="true"/>
        <sz val="10"/>
        <rFont val="Noto Sans CJK SC"/>
        <family val="2"/>
      </rPr>
      <t xml:space="preserve">상호작용적 예상 밖</t>
    </r>
    <r>
      <rPr>
        <b val="true"/>
        <sz val="10"/>
        <rFont val="Arial"/>
        <family val="0"/>
        <charset val="1"/>
      </rPr>
      <t xml:space="preserve">) · </t>
    </r>
    <r>
      <rPr>
        <b val="true"/>
        <sz val="10"/>
        <rFont val="Noto Sans CJK SC"/>
        <family val="2"/>
      </rPr>
      <t xml:space="preserve">별도 집계</t>
    </r>
  </si>
  <si>
    <t xml:space="preserve">네 유형 합계와 섞지 않음</t>
  </si>
  <si>
    <r>
      <rPr>
        <b val="true"/>
        <sz val="10"/>
        <rFont val="Arial"/>
        <family val="0"/>
        <charset val="1"/>
      </rPr>
      <t xml:space="preserve">P (</t>
    </r>
    <r>
      <rPr>
        <b val="true"/>
        <sz val="10"/>
        <rFont val="Noto Sans CJK SC"/>
        <family val="2"/>
      </rPr>
      <t xml:space="preserve">공간적 예상 밖</t>
    </r>
    <r>
      <rPr>
        <b val="true"/>
        <sz val="10"/>
        <rFont val="Arial"/>
        <family val="0"/>
        <charset val="1"/>
      </rPr>
      <t xml:space="preserve">) </t>
    </r>
    <r>
      <rPr>
        <b val="true"/>
        <sz val="10"/>
        <rFont val="Noto Sans CJK SC"/>
        <family val="2"/>
      </rPr>
      <t xml:space="preserve">장면 수</t>
    </r>
  </si>
  <si>
    <r>
      <rPr>
        <sz val="10"/>
        <rFont val="Noto Sans CJK SC"/>
        <family val="2"/>
      </rPr>
      <t xml:space="preserve">장면 시트에서 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예</t>
    </r>
    <r>
      <rPr>
        <sz val="10"/>
        <rFont val="Arial"/>
        <family val="0"/>
        <charset val="1"/>
      </rPr>
      <t xml:space="preserve">'</t>
    </r>
    <r>
      <rPr>
        <sz val="10"/>
        <rFont val="Noto Sans CJK SC"/>
        <family val="2"/>
      </rPr>
      <t xml:space="preserve">로 표시한 걷기 장면</t>
    </r>
  </si>
  <si>
    <r>
      <rPr>
        <b val="true"/>
        <sz val="10"/>
        <rFont val="Noto Sans CJK SC"/>
        <family val="2"/>
      </rPr>
      <t xml:space="preserve">도착 후 상호작용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밀도 제외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</si>
  <si>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구간 확인 필요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집계 보류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</si>
  <si>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발화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행동 시점이 확인되면 걷기 또는 도착 후로 변경</t>
    </r>
  </si>
  <si>
    <r>
      <rPr>
        <b val="true"/>
        <sz val="10"/>
        <rFont val="Noto Sans CJK SC"/>
        <family val="2"/>
      </rPr>
      <t xml:space="preserve">개인 경험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상호작용 집계 제외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</si>
  <si>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음악 감상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노을 감상 등</t>
    </r>
  </si>
  <si>
    <t xml:space="preserve">미검토 상호작용 수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</si>
  <si>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이 되어야 요약이 확정됩니다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</si>
</sst>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2"/>
      <name val="Noto Sans CJK SC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FF4B8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CCC4"/>
      </left>
      <right style="thin">
        <color rgb="FFD0CCC4"/>
      </right>
      <top style="thin">
        <color rgb="FFD0CCC4"/>
      </top>
      <bottom style="thin">
        <color rgb="FFD0CC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CC4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1.6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</row>
    <row r="4" customFormat="false" ht="31.5" hidden="false" customHeight="true" outlineLevel="0" collapsed="false">
      <c r="A4" s="2" t="s">
        <v>3</v>
      </c>
      <c r="B4" s="3" t="s">
        <v>4</v>
      </c>
    </row>
    <row r="5" customFormat="false" ht="31.5" hidden="false" customHeight="true" outlineLevel="0" collapsed="false">
      <c r="A5" s="2" t="s">
        <v>5</v>
      </c>
      <c r="B5" s="3" t="s">
        <v>6</v>
      </c>
    </row>
    <row r="6" customFormat="false" ht="31.5" hidden="false" customHeight="true" outlineLevel="0" collapsed="false">
      <c r="A6" s="2" t="s">
        <v>7</v>
      </c>
      <c r="B6" s="3" t="s">
        <v>8</v>
      </c>
    </row>
    <row r="7" customFormat="false" ht="31.5" hidden="false" customHeight="true" outlineLevel="0" collapsed="false">
      <c r="A7" s="2" t="s">
        <v>9</v>
      </c>
      <c r="B7" s="3" t="s">
        <v>10</v>
      </c>
    </row>
    <row r="8" customFormat="false" ht="31.5" hidden="false" customHeight="true" outlineLevel="0" collapsed="false">
      <c r="A8" s="2" t="s">
        <v>11</v>
      </c>
      <c r="B8" s="3" t="s">
        <v>12</v>
      </c>
    </row>
    <row r="9" customFormat="false" ht="31.5" hidden="false" customHeight="true" outlineLevel="0" collapsed="false">
      <c r="A9" s="2" t="s">
        <v>13</v>
      </c>
      <c r="B9" s="4" t="s">
        <v>14</v>
      </c>
    </row>
    <row r="10" customFormat="false" ht="31.5" hidden="false" customHeight="true" outlineLevel="0" collapsed="false">
      <c r="A10" s="2" t="s">
        <v>15</v>
      </c>
      <c r="B10" s="3" t="s">
        <v>16</v>
      </c>
    </row>
    <row r="11" customFormat="false" ht="31.5" hidden="false" customHeight="true" outlineLevel="0" collapsed="false">
      <c r="A11" s="5" t="s">
        <v>17</v>
      </c>
      <c r="B11" s="4" t="s">
        <v>18</v>
      </c>
    </row>
    <row r="12" customFormat="false" ht="31.5" hidden="false" customHeight="true" outlineLevel="0" collapsed="false">
      <c r="A12" s="2" t="s">
        <v>19</v>
      </c>
      <c r="B12" s="3" t="s">
        <v>20</v>
      </c>
    </row>
    <row r="13" customFormat="false" ht="31.5" hidden="false" customHeight="true" outlineLevel="0" collapsed="false">
      <c r="A13" s="2" t="s">
        <v>21</v>
      </c>
      <c r="B13" s="3" t="s">
        <v>22</v>
      </c>
    </row>
    <row r="14" customFormat="false" ht="31.5" hidden="false" customHeight="true" outlineLevel="0" collapsed="false">
      <c r="A14" s="2" t="s">
        <v>23</v>
      </c>
      <c r="B14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6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3" min="13" style="0" width="34"/>
    <col collapsed="false" customWidth="true" hidden="false" outlineLevel="0" max="14" min="14" style="0" width="26"/>
    <col collapsed="false" customWidth="true" hidden="false" outlineLevel="0" max="15" min="15" style="0" width="30"/>
  </cols>
  <sheetData>
    <row r="1" customFormat="false" ht="30" hidden="false" customHeight="true" outlineLevel="0" collapsed="false">
      <c r="A1" s="6" t="s">
        <v>25</v>
      </c>
      <c r="B1" s="6" t="s">
        <v>26</v>
      </c>
      <c r="C1" s="6" t="s">
        <v>27</v>
      </c>
      <c r="D1" s="6" t="s">
        <v>28</v>
      </c>
      <c r="E1" s="6" t="s">
        <v>29</v>
      </c>
      <c r="F1" s="6" t="s">
        <v>30</v>
      </c>
      <c r="G1" s="6" t="s">
        <v>31</v>
      </c>
      <c r="H1" s="7" t="s">
        <v>32</v>
      </c>
      <c r="I1" s="6" t="s">
        <v>33</v>
      </c>
      <c r="J1" s="6" t="s">
        <v>34</v>
      </c>
      <c r="K1" s="6" t="s">
        <v>35</v>
      </c>
      <c r="L1" s="6" t="s">
        <v>36</v>
      </c>
      <c r="M1" s="6" t="s">
        <v>37</v>
      </c>
      <c r="N1" s="6" t="s">
        <v>38</v>
      </c>
      <c r="O1" s="6" t="s">
        <v>39</v>
      </c>
    </row>
    <row r="2" customFormat="false" ht="29.85" hidden="false" customHeight="false" outlineLevel="0" collapsed="false">
      <c r="A2" s="8" t="s">
        <v>40</v>
      </c>
      <c r="B2" s="8" t="s">
        <v>41</v>
      </c>
      <c r="C2" s="8" t="n">
        <v>0</v>
      </c>
      <c r="D2" s="9" t="s">
        <v>42</v>
      </c>
      <c r="E2" s="9" t="s">
        <v>43</v>
      </c>
      <c r="F2" s="10"/>
      <c r="G2" s="9" t="s">
        <v>44</v>
      </c>
      <c r="H2" s="11" t="s">
        <v>45</v>
      </c>
      <c r="I2" s="8" t="s">
        <v>46</v>
      </c>
      <c r="J2" s="11" t="s">
        <v>47</v>
      </c>
      <c r="K2" s="9" t="s">
        <v>48</v>
      </c>
      <c r="L2" s="10"/>
      <c r="M2" s="8" t="s">
        <v>49</v>
      </c>
      <c r="N2" s="11" t="s">
        <v>50</v>
      </c>
      <c r="O2" s="9" t="s">
        <v>51</v>
      </c>
    </row>
    <row r="3" customFormat="false" ht="29.85" hidden="false" customHeight="false" outlineLevel="0" collapsed="false">
      <c r="A3" s="8" t="s">
        <v>52</v>
      </c>
      <c r="B3" s="8" t="s">
        <v>41</v>
      </c>
      <c r="C3" s="9" t="n">
        <v>1</v>
      </c>
      <c r="D3" s="9" t="s">
        <v>42</v>
      </c>
      <c r="E3" s="9" t="s">
        <v>53</v>
      </c>
      <c r="F3" s="10" t="s">
        <v>54</v>
      </c>
      <c r="G3" s="9" t="s">
        <v>55</v>
      </c>
      <c r="H3" s="11" t="s">
        <v>45</v>
      </c>
      <c r="I3" s="8" t="s">
        <v>56</v>
      </c>
      <c r="J3" s="11" t="s">
        <v>57</v>
      </c>
      <c r="K3" s="9" t="s">
        <v>48</v>
      </c>
      <c r="L3" s="10"/>
      <c r="M3" s="8" t="s">
        <v>58</v>
      </c>
      <c r="N3" s="11" t="s">
        <v>59</v>
      </c>
      <c r="O3" s="9" t="s">
        <v>60</v>
      </c>
    </row>
    <row r="4" customFormat="false" ht="29.85" hidden="false" customHeight="false" outlineLevel="0" collapsed="false">
      <c r="A4" s="8" t="s">
        <v>61</v>
      </c>
      <c r="B4" s="8" t="s">
        <v>41</v>
      </c>
      <c r="C4" s="9" t="n">
        <v>2</v>
      </c>
      <c r="D4" s="9" t="s">
        <v>42</v>
      </c>
      <c r="E4" s="9" t="s">
        <v>62</v>
      </c>
      <c r="F4" s="10" t="s">
        <v>63</v>
      </c>
      <c r="G4" s="9" t="s">
        <v>55</v>
      </c>
      <c r="H4" s="11" t="s">
        <v>45</v>
      </c>
      <c r="I4" s="8" t="s">
        <v>56</v>
      </c>
      <c r="J4" s="11" t="s">
        <v>64</v>
      </c>
      <c r="K4" s="9" t="s">
        <v>48</v>
      </c>
      <c r="L4" s="10"/>
      <c r="M4" s="8" t="s">
        <v>65</v>
      </c>
      <c r="N4" s="11" t="s">
        <v>66</v>
      </c>
      <c r="O4" s="9" t="s">
        <v>67</v>
      </c>
    </row>
    <row r="5" customFormat="false" ht="29.85" hidden="false" customHeight="false" outlineLevel="0" collapsed="false">
      <c r="A5" s="8" t="s">
        <v>68</v>
      </c>
      <c r="B5" s="8" t="s">
        <v>41</v>
      </c>
      <c r="C5" s="9" t="n">
        <v>3</v>
      </c>
      <c r="D5" s="9" t="s">
        <v>42</v>
      </c>
      <c r="E5" s="9" t="s">
        <v>69</v>
      </c>
      <c r="F5" s="10" t="s">
        <v>70</v>
      </c>
      <c r="G5" s="9" t="s">
        <v>55</v>
      </c>
      <c r="H5" s="11" t="s">
        <v>45</v>
      </c>
      <c r="I5" s="8" t="s">
        <v>56</v>
      </c>
      <c r="J5" s="11" t="s">
        <v>71</v>
      </c>
      <c r="K5" s="9" t="s">
        <v>72</v>
      </c>
      <c r="L5" s="10"/>
      <c r="M5" s="8" t="s">
        <v>73</v>
      </c>
      <c r="N5" s="11" t="s">
        <v>69</v>
      </c>
      <c r="O5" s="9" t="s">
        <v>60</v>
      </c>
    </row>
    <row r="6" customFormat="false" ht="29.85" hidden="false" customHeight="false" outlineLevel="0" collapsed="false">
      <c r="A6" s="8" t="s">
        <v>74</v>
      </c>
      <c r="B6" s="8" t="s">
        <v>41</v>
      </c>
      <c r="C6" s="9" t="n">
        <v>4</v>
      </c>
      <c r="D6" s="9" t="s">
        <v>75</v>
      </c>
      <c r="E6" s="9" t="s">
        <v>76</v>
      </c>
      <c r="F6" s="10" t="s">
        <v>77</v>
      </c>
      <c r="G6" s="9" t="s">
        <v>78</v>
      </c>
      <c r="H6" s="11" t="s">
        <v>45</v>
      </c>
      <c r="I6" s="8" t="s">
        <v>46</v>
      </c>
      <c r="J6" s="11" t="s">
        <v>79</v>
      </c>
      <c r="K6" s="9" t="s">
        <v>48</v>
      </c>
      <c r="L6" s="10"/>
      <c r="M6" s="8" t="s">
        <v>80</v>
      </c>
      <c r="N6" s="11" t="s">
        <v>81</v>
      </c>
      <c r="O6" s="9" t="s">
        <v>82</v>
      </c>
    </row>
    <row r="7" customFormat="false" ht="29.85" hidden="false" customHeight="false" outlineLevel="0" collapsed="false">
      <c r="A7" s="8" t="s">
        <v>83</v>
      </c>
      <c r="B7" s="8" t="s">
        <v>84</v>
      </c>
      <c r="C7" s="9" t="n">
        <v>0</v>
      </c>
      <c r="D7" s="9" t="s">
        <v>42</v>
      </c>
      <c r="E7" s="9" t="s">
        <v>85</v>
      </c>
      <c r="F7" s="10" t="s">
        <v>86</v>
      </c>
      <c r="G7" s="9" t="s">
        <v>87</v>
      </c>
      <c r="H7" s="11" t="s">
        <v>45</v>
      </c>
      <c r="I7" s="9" t="s">
        <v>50</v>
      </c>
      <c r="J7" s="11" t="s">
        <v>57</v>
      </c>
      <c r="K7" s="9" t="s">
        <v>48</v>
      </c>
      <c r="L7" s="10"/>
      <c r="M7" s="8" t="s">
        <v>88</v>
      </c>
      <c r="N7" s="11" t="s">
        <v>50</v>
      </c>
      <c r="O7" s="9" t="s">
        <v>89</v>
      </c>
    </row>
    <row r="8" customFormat="false" ht="29.85" hidden="false" customHeight="false" outlineLevel="0" collapsed="false">
      <c r="A8" s="8" t="s">
        <v>90</v>
      </c>
      <c r="B8" s="8" t="s">
        <v>84</v>
      </c>
      <c r="C8" s="9" t="n">
        <v>1</v>
      </c>
      <c r="D8" s="9" t="s">
        <v>42</v>
      </c>
      <c r="E8" s="9" t="s">
        <v>91</v>
      </c>
      <c r="F8" s="10" t="s">
        <v>92</v>
      </c>
      <c r="G8" s="9" t="s">
        <v>93</v>
      </c>
      <c r="H8" s="11" t="s">
        <v>45</v>
      </c>
      <c r="I8" s="9" t="s">
        <v>50</v>
      </c>
      <c r="J8" s="11" t="s">
        <v>79</v>
      </c>
      <c r="K8" s="9" t="s">
        <v>48</v>
      </c>
      <c r="L8" s="10"/>
      <c r="M8" s="8" t="s">
        <v>94</v>
      </c>
      <c r="N8" s="11" t="s">
        <v>95</v>
      </c>
      <c r="O8" s="9" t="s">
        <v>96</v>
      </c>
    </row>
    <row r="9" customFormat="false" ht="29.85" hidden="false" customHeight="false" outlineLevel="0" collapsed="false">
      <c r="A9" s="8" t="s">
        <v>97</v>
      </c>
      <c r="B9" s="8" t="s">
        <v>84</v>
      </c>
      <c r="C9" s="9" t="n">
        <v>2</v>
      </c>
      <c r="D9" s="9" t="s">
        <v>45</v>
      </c>
      <c r="E9" s="9" t="s">
        <v>98</v>
      </c>
      <c r="F9" s="10" t="s">
        <v>99</v>
      </c>
      <c r="G9" s="9" t="s">
        <v>87</v>
      </c>
      <c r="H9" s="11" t="s">
        <v>45</v>
      </c>
      <c r="I9" s="9" t="s">
        <v>50</v>
      </c>
      <c r="J9" s="11" t="s">
        <v>64</v>
      </c>
      <c r="K9" s="9" t="s">
        <v>48</v>
      </c>
      <c r="L9" s="10"/>
      <c r="M9" s="8" t="s">
        <v>100</v>
      </c>
      <c r="N9" s="11" t="s">
        <v>50</v>
      </c>
      <c r="O9" s="9" t="s">
        <v>101</v>
      </c>
    </row>
    <row r="10" customFormat="false" ht="15" hidden="false" customHeight="false" outlineLevel="0" collapsed="false">
      <c r="A10" s="8" t="s">
        <v>102</v>
      </c>
      <c r="B10" s="8" t="s">
        <v>84</v>
      </c>
      <c r="C10" s="9" t="n">
        <v>3</v>
      </c>
      <c r="D10" s="9" t="s">
        <v>75</v>
      </c>
      <c r="E10" s="9" t="s">
        <v>103</v>
      </c>
      <c r="F10" s="10" t="s">
        <v>104</v>
      </c>
      <c r="G10" s="9" t="s">
        <v>87</v>
      </c>
      <c r="H10" s="11" t="s">
        <v>45</v>
      </c>
      <c r="I10" s="9" t="s">
        <v>50</v>
      </c>
      <c r="J10" s="11"/>
      <c r="K10" s="9"/>
      <c r="L10" s="10"/>
      <c r="M10" s="9"/>
      <c r="N10" s="11" t="s">
        <v>105</v>
      </c>
      <c r="O10" s="9"/>
    </row>
  </sheetData>
  <dataValidations count="4">
    <dataValidation allowBlank="true" errorStyle="stop" operator="between" showDropDown="false" showErrorMessage="false" showInputMessage="false" sqref="D2:D60" type="list">
      <formula1>"걷기,도착 후,확인 필요"</formula1>
      <formula2>0</formula2>
    </dataValidation>
    <dataValidation allowBlank="true" errorStyle="stop" operator="between" showDropDown="false" showErrorMessage="false" showInputMessage="false" sqref="H2:H60" type="list">
      <formula1>"예,아니오,확인 필요"</formula1>
      <formula2>0</formula2>
    </dataValidation>
    <dataValidation allowBlank="true" errorStyle="stop" operator="between" showDropDown="false" showErrorMessage="false" showInputMessage="false" sqref="J2:J60" type="list">
      <formula1>"당황·혼란·불안,안정·평온,기쁨의 시작·즐거움,만족·행복감"</formula1>
      <formula2>0</formula2>
    </dataValidation>
    <dataValidation allowBlank="true" errorStyle="stop" operator="between" showDropDown="false" showErrorMessage="false" showInputMessage="false" sqref="L2:L60" type="list">
      <formula1>"-2,-1,0,1,2"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36"/>
    <col collapsed="false" customWidth="true" hidden="false" outlineLevel="0" max="7" min="7" style="0" width="34"/>
    <col collapsed="false" customWidth="true" hidden="false" outlineLevel="0" max="8" min="8" style="0" width="12"/>
    <col collapsed="false" customWidth="true" hidden="false" outlineLevel="0" max="9" min="9" style="0" width="26"/>
    <col collapsed="false" customWidth="true" hidden="false" outlineLevel="0" max="10" min="10" style="0" width="11"/>
    <col collapsed="false" customWidth="true" hidden="false" outlineLevel="0" max="11" min="11" style="0" width="32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6" t="s">
        <v>106</v>
      </c>
      <c r="B1" s="6" t="s">
        <v>25</v>
      </c>
      <c r="C1" s="6" t="s">
        <v>26</v>
      </c>
      <c r="D1" s="6" t="s">
        <v>28</v>
      </c>
      <c r="E1" s="6" t="s">
        <v>107</v>
      </c>
      <c r="F1" s="6" t="s">
        <v>108</v>
      </c>
      <c r="G1" s="6" t="s">
        <v>109</v>
      </c>
      <c r="H1" s="7" t="s">
        <v>110</v>
      </c>
      <c r="I1" s="6" t="s">
        <v>111</v>
      </c>
      <c r="J1" s="6" t="s">
        <v>7</v>
      </c>
      <c r="K1" s="6" t="s">
        <v>39</v>
      </c>
      <c r="L1" s="6" t="s">
        <v>13</v>
      </c>
    </row>
    <row r="2" customFormat="false" ht="29.85" hidden="false" customHeight="false" outlineLevel="0" collapsed="false">
      <c r="A2" s="8" t="s">
        <v>112</v>
      </c>
      <c r="B2" s="8" t="s">
        <v>40</v>
      </c>
      <c r="C2" s="8" t="s">
        <v>41</v>
      </c>
      <c r="D2" s="11" t="s">
        <v>42</v>
      </c>
      <c r="E2" s="10"/>
      <c r="F2" s="9" t="s">
        <v>113</v>
      </c>
      <c r="G2" s="8" t="s">
        <v>49</v>
      </c>
      <c r="H2" s="10"/>
      <c r="I2" s="9" t="s">
        <v>114</v>
      </c>
      <c r="J2" s="11" t="s">
        <v>115</v>
      </c>
      <c r="K2" s="9" t="s">
        <v>116</v>
      </c>
      <c r="L2" s="11" t="s">
        <v>117</v>
      </c>
    </row>
    <row r="3" customFormat="false" ht="15" hidden="false" customHeight="false" outlineLevel="0" collapsed="false">
      <c r="A3" s="8" t="s">
        <v>118</v>
      </c>
      <c r="B3" s="8" t="s">
        <v>40</v>
      </c>
      <c r="C3" s="8" t="s">
        <v>41</v>
      </c>
      <c r="D3" s="11" t="s">
        <v>42</v>
      </c>
      <c r="E3" s="10" t="s">
        <v>119</v>
      </c>
      <c r="F3" s="9" t="s">
        <v>120</v>
      </c>
      <c r="G3" s="8" t="s">
        <v>121</v>
      </c>
      <c r="H3" s="10"/>
      <c r="I3" s="9" t="s">
        <v>122</v>
      </c>
      <c r="J3" s="11" t="s">
        <v>115</v>
      </c>
      <c r="K3" s="9" t="s">
        <v>123</v>
      </c>
      <c r="L3" s="11" t="s">
        <v>117</v>
      </c>
    </row>
    <row r="4" customFormat="false" ht="15" hidden="false" customHeight="false" outlineLevel="0" collapsed="false">
      <c r="A4" s="8" t="s">
        <v>124</v>
      </c>
      <c r="B4" s="8" t="s">
        <v>52</v>
      </c>
      <c r="C4" s="8" t="s">
        <v>41</v>
      </c>
      <c r="D4" s="11" t="s">
        <v>42</v>
      </c>
      <c r="E4" s="10" t="s">
        <v>125</v>
      </c>
      <c r="F4" s="9" t="s">
        <v>126</v>
      </c>
      <c r="G4" s="9"/>
      <c r="H4" s="10"/>
      <c r="I4" s="9" t="s">
        <v>122</v>
      </c>
      <c r="J4" s="11" t="s">
        <v>115</v>
      </c>
      <c r="K4" s="9"/>
      <c r="L4" s="11" t="s">
        <v>117</v>
      </c>
    </row>
    <row r="5" customFormat="false" ht="15" hidden="false" customHeight="false" outlineLevel="0" collapsed="false">
      <c r="A5" s="8" t="s">
        <v>127</v>
      </c>
      <c r="B5" s="8" t="s">
        <v>52</v>
      </c>
      <c r="C5" s="8" t="s">
        <v>41</v>
      </c>
      <c r="D5" s="11" t="s">
        <v>42</v>
      </c>
      <c r="E5" s="10" t="s">
        <v>128</v>
      </c>
      <c r="F5" s="9" t="s">
        <v>129</v>
      </c>
      <c r="G5" s="9"/>
      <c r="H5" s="10"/>
      <c r="I5" s="9" t="s">
        <v>122</v>
      </c>
      <c r="J5" s="11" t="s">
        <v>115</v>
      </c>
      <c r="K5" s="9"/>
      <c r="L5" s="11" t="s">
        <v>117</v>
      </c>
    </row>
    <row r="6" customFormat="false" ht="15" hidden="false" customHeight="false" outlineLevel="0" collapsed="false">
      <c r="A6" s="8" t="s">
        <v>130</v>
      </c>
      <c r="B6" s="8" t="s">
        <v>52</v>
      </c>
      <c r="C6" s="8" t="s">
        <v>41</v>
      </c>
      <c r="D6" s="11" t="s">
        <v>42</v>
      </c>
      <c r="E6" s="10" t="s">
        <v>131</v>
      </c>
      <c r="F6" s="9" t="s">
        <v>132</v>
      </c>
      <c r="G6" s="9"/>
      <c r="H6" s="10"/>
      <c r="I6" s="9" t="s">
        <v>122</v>
      </c>
      <c r="J6" s="11" t="s">
        <v>115</v>
      </c>
      <c r="K6" s="9"/>
      <c r="L6" s="11" t="s">
        <v>117</v>
      </c>
    </row>
    <row r="7" customFormat="false" ht="15" hidden="false" customHeight="false" outlineLevel="0" collapsed="false">
      <c r="A7" s="8" t="s">
        <v>133</v>
      </c>
      <c r="B7" s="8" t="s">
        <v>61</v>
      </c>
      <c r="C7" s="8" t="s">
        <v>41</v>
      </c>
      <c r="D7" s="11" t="s">
        <v>42</v>
      </c>
      <c r="E7" s="10" t="s">
        <v>125</v>
      </c>
      <c r="F7" s="9" t="s">
        <v>134</v>
      </c>
      <c r="G7" s="8" t="s">
        <v>65</v>
      </c>
      <c r="H7" s="10"/>
      <c r="I7" s="9" t="s">
        <v>122</v>
      </c>
      <c r="J7" s="11" t="s">
        <v>115</v>
      </c>
      <c r="K7" s="9"/>
      <c r="L7" s="11" t="s">
        <v>117</v>
      </c>
    </row>
    <row r="8" customFormat="false" ht="15" hidden="false" customHeight="false" outlineLevel="0" collapsed="false">
      <c r="A8" s="8" t="s">
        <v>135</v>
      </c>
      <c r="B8" s="8" t="s">
        <v>61</v>
      </c>
      <c r="C8" s="8" t="s">
        <v>41</v>
      </c>
      <c r="D8" s="11" t="s">
        <v>42</v>
      </c>
      <c r="E8" s="10" t="s">
        <v>128</v>
      </c>
      <c r="F8" s="9" t="s">
        <v>136</v>
      </c>
      <c r="G8" s="9"/>
      <c r="H8" s="10"/>
      <c r="I8" s="9" t="s">
        <v>122</v>
      </c>
      <c r="J8" s="11" t="s">
        <v>115</v>
      </c>
      <c r="K8" s="9"/>
      <c r="L8" s="11" t="s">
        <v>117</v>
      </c>
    </row>
    <row r="9" customFormat="false" ht="15" hidden="false" customHeight="false" outlineLevel="0" collapsed="false">
      <c r="A9" s="8" t="s">
        <v>137</v>
      </c>
      <c r="B9" s="8" t="s">
        <v>61</v>
      </c>
      <c r="C9" s="8" t="s">
        <v>41</v>
      </c>
      <c r="D9" s="11" t="s">
        <v>42</v>
      </c>
      <c r="E9" s="10" t="s">
        <v>131</v>
      </c>
      <c r="F9" s="9" t="s">
        <v>138</v>
      </c>
      <c r="G9" s="9"/>
      <c r="H9" s="10"/>
      <c r="I9" s="9" t="s">
        <v>122</v>
      </c>
      <c r="J9" s="11" t="s">
        <v>115</v>
      </c>
      <c r="K9" s="9"/>
      <c r="L9" s="11" t="s">
        <v>117</v>
      </c>
    </row>
    <row r="10" customFormat="false" ht="15" hidden="false" customHeight="false" outlineLevel="0" collapsed="false">
      <c r="A10" s="8" t="s">
        <v>139</v>
      </c>
      <c r="B10" s="8" t="s">
        <v>68</v>
      </c>
      <c r="C10" s="8" t="s">
        <v>41</v>
      </c>
      <c r="D10" s="11" t="s">
        <v>42</v>
      </c>
      <c r="E10" s="10" t="s">
        <v>125</v>
      </c>
      <c r="F10" s="9" t="s">
        <v>140</v>
      </c>
      <c r="G10" s="9"/>
      <c r="H10" s="10"/>
      <c r="I10" s="9" t="s">
        <v>122</v>
      </c>
      <c r="J10" s="11" t="s">
        <v>115</v>
      </c>
      <c r="K10" s="9"/>
      <c r="L10" s="11" t="s">
        <v>117</v>
      </c>
    </row>
    <row r="11" customFormat="false" ht="15" hidden="false" customHeight="false" outlineLevel="0" collapsed="false">
      <c r="A11" s="8" t="s">
        <v>141</v>
      </c>
      <c r="B11" s="8" t="s">
        <v>68</v>
      </c>
      <c r="C11" s="8" t="s">
        <v>41</v>
      </c>
      <c r="D11" s="11" t="s">
        <v>42</v>
      </c>
      <c r="E11" s="10" t="s">
        <v>128</v>
      </c>
      <c r="F11" s="9" t="s">
        <v>142</v>
      </c>
      <c r="G11" s="9"/>
      <c r="H11" s="10"/>
      <c r="I11" s="9" t="s">
        <v>122</v>
      </c>
      <c r="J11" s="11" t="s">
        <v>115</v>
      </c>
      <c r="K11" s="9"/>
      <c r="L11" s="11" t="s">
        <v>117</v>
      </c>
    </row>
    <row r="12" customFormat="false" ht="15" hidden="false" customHeight="false" outlineLevel="0" collapsed="false">
      <c r="A12" s="8" t="s">
        <v>143</v>
      </c>
      <c r="B12" s="8" t="s">
        <v>68</v>
      </c>
      <c r="C12" s="8" t="s">
        <v>41</v>
      </c>
      <c r="D12" s="11" t="s">
        <v>42</v>
      </c>
      <c r="E12" s="10" t="s">
        <v>131</v>
      </c>
      <c r="F12" s="9" t="s">
        <v>144</v>
      </c>
      <c r="G12" s="8" t="s">
        <v>73</v>
      </c>
      <c r="H12" s="10"/>
      <c r="I12" s="9" t="s">
        <v>122</v>
      </c>
      <c r="J12" s="11" t="s">
        <v>115</v>
      </c>
      <c r="K12" s="9"/>
      <c r="L12" s="11" t="s">
        <v>117</v>
      </c>
    </row>
    <row r="13" customFormat="false" ht="15" hidden="false" customHeight="false" outlineLevel="0" collapsed="false">
      <c r="A13" s="8" t="s">
        <v>145</v>
      </c>
      <c r="B13" s="8" t="s">
        <v>68</v>
      </c>
      <c r="C13" s="8" t="s">
        <v>41</v>
      </c>
      <c r="D13" s="11" t="s">
        <v>42</v>
      </c>
      <c r="E13" s="10" t="s">
        <v>119</v>
      </c>
      <c r="F13" s="9" t="s">
        <v>146</v>
      </c>
      <c r="G13" s="8" t="s">
        <v>147</v>
      </c>
      <c r="H13" s="10"/>
      <c r="I13" s="9" t="s">
        <v>122</v>
      </c>
      <c r="J13" s="11" t="s">
        <v>115</v>
      </c>
      <c r="K13" s="9" t="s">
        <v>148</v>
      </c>
      <c r="L13" s="11" t="s">
        <v>117</v>
      </c>
    </row>
    <row r="14" customFormat="false" ht="15" hidden="false" customHeight="false" outlineLevel="0" collapsed="false">
      <c r="A14" s="8" t="s">
        <v>149</v>
      </c>
      <c r="B14" s="8" t="s">
        <v>74</v>
      </c>
      <c r="C14" s="8" t="s">
        <v>41</v>
      </c>
      <c r="D14" s="11" t="s">
        <v>75</v>
      </c>
      <c r="E14" s="10" t="s">
        <v>128</v>
      </c>
      <c r="F14" s="9" t="s">
        <v>150</v>
      </c>
      <c r="G14" s="9"/>
      <c r="H14" s="10"/>
      <c r="I14" s="9" t="s">
        <v>122</v>
      </c>
      <c r="J14" s="11" t="s">
        <v>115</v>
      </c>
      <c r="K14" s="9" t="s">
        <v>151</v>
      </c>
      <c r="L14" s="11" t="s">
        <v>117</v>
      </c>
    </row>
    <row r="15" customFormat="false" ht="15" hidden="false" customHeight="false" outlineLevel="0" collapsed="false">
      <c r="A15" s="8" t="s">
        <v>152</v>
      </c>
      <c r="B15" s="8" t="s">
        <v>74</v>
      </c>
      <c r="C15" s="8" t="s">
        <v>41</v>
      </c>
      <c r="D15" s="11" t="s">
        <v>75</v>
      </c>
      <c r="E15" s="10" t="s">
        <v>131</v>
      </c>
      <c r="F15" s="9" t="s">
        <v>153</v>
      </c>
      <c r="G15" s="8" t="s">
        <v>154</v>
      </c>
      <c r="H15" s="10"/>
      <c r="I15" s="9" t="s">
        <v>122</v>
      </c>
      <c r="J15" s="11" t="s">
        <v>115</v>
      </c>
      <c r="K15" s="9" t="s">
        <v>155</v>
      </c>
      <c r="L15" s="11" t="s">
        <v>117</v>
      </c>
    </row>
    <row r="16" customFormat="false" ht="15" hidden="false" customHeight="false" outlineLevel="0" collapsed="false">
      <c r="A16" s="8" t="s">
        <v>156</v>
      </c>
      <c r="B16" s="8" t="s">
        <v>83</v>
      </c>
      <c r="C16" s="8" t="s">
        <v>84</v>
      </c>
      <c r="D16" s="11" t="s">
        <v>42</v>
      </c>
      <c r="E16" s="10" t="s">
        <v>119</v>
      </c>
      <c r="F16" s="9" t="s">
        <v>157</v>
      </c>
      <c r="G16" s="8" t="s">
        <v>88</v>
      </c>
      <c r="H16" s="10"/>
      <c r="I16" s="9" t="s">
        <v>122</v>
      </c>
      <c r="J16" s="11" t="s">
        <v>115</v>
      </c>
      <c r="K16" s="9"/>
      <c r="L16" s="11" t="s">
        <v>117</v>
      </c>
    </row>
    <row r="17" customFormat="false" ht="15" hidden="false" customHeight="false" outlineLevel="0" collapsed="false">
      <c r="A17" s="8" t="s">
        <v>158</v>
      </c>
      <c r="B17" s="8" t="s">
        <v>90</v>
      </c>
      <c r="C17" s="8" t="s">
        <v>84</v>
      </c>
      <c r="D17" s="11" t="s">
        <v>42</v>
      </c>
      <c r="E17" s="10" t="s">
        <v>125</v>
      </c>
      <c r="F17" s="9" t="s">
        <v>159</v>
      </c>
      <c r="G17" s="8" t="s">
        <v>94</v>
      </c>
      <c r="H17" s="10"/>
      <c r="I17" s="9" t="s">
        <v>122</v>
      </c>
      <c r="J17" s="11" t="s">
        <v>115</v>
      </c>
      <c r="K17" s="9"/>
      <c r="L17" s="11" t="s">
        <v>117</v>
      </c>
    </row>
    <row r="18" customFormat="false" ht="15" hidden="false" customHeight="false" outlineLevel="0" collapsed="false">
      <c r="A18" s="8" t="s">
        <v>160</v>
      </c>
      <c r="B18" s="8" t="s">
        <v>90</v>
      </c>
      <c r="C18" s="8" t="s">
        <v>84</v>
      </c>
      <c r="D18" s="11" t="s">
        <v>42</v>
      </c>
      <c r="E18" s="10" t="s">
        <v>128</v>
      </c>
      <c r="F18" s="9" t="s">
        <v>161</v>
      </c>
      <c r="G18" s="9"/>
      <c r="H18" s="10"/>
      <c r="I18" s="9" t="s">
        <v>122</v>
      </c>
      <c r="J18" s="11" t="s">
        <v>115</v>
      </c>
      <c r="K18" s="9"/>
      <c r="L18" s="11" t="s">
        <v>117</v>
      </c>
    </row>
    <row r="19" customFormat="false" ht="15" hidden="false" customHeight="false" outlineLevel="0" collapsed="false">
      <c r="A19" s="8" t="s">
        <v>162</v>
      </c>
      <c r="B19" s="8" t="s">
        <v>90</v>
      </c>
      <c r="C19" s="8" t="s">
        <v>84</v>
      </c>
      <c r="D19" s="11" t="s">
        <v>42</v>
      </c>
      <c r="E19" s="10" t="s">
        <v>131</v>
      </c>
      <c r="F19" s="9" t="s">
        <v>163</v>
      </c>
      <c r="G19" s="9"/>
      <c r="H19" s="10"/>
      <c r="I19" s="9" t="s">
        <v>122</v>
      </c>
      <c r="J19" s="11" t="s">
        <v>115</v>
      </c>
      <c r="K19" s="9"/>
      <c r="L19" s="11" t="s">
        <v>117</v>
      </c>
    </row>
    <row r="20" customFormat="false" ht="29.85" hidden="false" customHeight="false" outlineLevel="0" collapsed="false">
      <c r="A20" s="8" t="s">
        <v>164</v>
      </c>
      <c r="B20" s="8" t="s">
        <v>90</v>
      </c>
      <c r="C20" s="8" t="s">
        <v>84</v>
      </c>
      <c r="D20" s="11" t="s">
        <v>42</v>
      </c>
      <c r="E20" s="10"/>
      <c r="F20" s="9" t="s">
        <v>165</v>
      </c>
      <c r="G20" s="9"/>
      <c r="H20" s="10"/>
      <c r="I20" s="9" t="s">
        <v>166</v>
      </c>
      <c r="J20" s="11" t="s">
        <v>115</v>
      </c>
      <c r="K20" s="9" t="s">
        <v>167</v>
      </c>
      <c r="L20" s="11" t="s">
        <v>168</v>
      </c>
    </row>
    <row r="21" customFormat="false" ht="29.85" hidden="false" customHeight="false" outlineLevel="0" collapsed="false">
      <c r="A21" s="8" t="s">
        <v>169</v>
      </c>
      <c r="B21" s="8" t="s">
        <v>90</v>
      </c>
      <c r="C21" s="8" t="s">
        <v>84</v>
      </c>
      <c r="D21" s="11" t="s">
        <v>42</v>
      </c>
      <c r="E21" s="10"/>
      <c r="F21" s="9" t="s">
        <v>170</v>
      </c>
      <c r="G21" s="9"/>
      <c r="H21" s="10"/>
      <c r="I21" s="9" t="s">
        <v>166</v>
      </c>
      <c r="J21" s="11" t="s">
        <v>115</v>
      </c>
      <c r="K21" s="9" t="s">
        <v>171</v>
      </c>
      <c r="L21" s="11" t="s">
        <v>168</v>
      </c>
    </row>
    <row r="22" customFormat="false" ht="15" hidden="false" customHeight="false" outlineLevel="0" collapsed="false">
      <c r="A22" s="8" t="s">
        <v>172</v>
      </c>
      <c r="B22" s="8" t="s">
        <v>90</v>
      </c>
      <c r="C22" s="8" t="s">
        <v>84</v>
      </c>
      <c r="D22" s="11" t="s">
        <v>42</v>
      </c>
      <c r="E22" s="10"/>
      <c r="F22" s="9" t="s">
        <v>173</v>
      </c>
      <c r="G22" s="9"/>
      <c r="H22" s="10"/>
      <c r="I22" s="9" t="s">
        <v>174</v>
      </c>
      <c r="J22" s="11" t="s">
        <v>115</v>
      </c>
      <c r="K22" s="9" t="s">
        <v>175</v>
      </c>
      <c r="L22" s="11" t="s">
        <v>117</v>
      </c>
    </row>
    <row r="23" customFormat="false" ht="15" hidden="false" customHeight="false" outlineLevel="0" collapsed="false">
      <c r="A23" s="8" t="s">
        <v>176</v>
      </c>
      <c r="B23" s="8" t="s">
        <v>90</v>
      </c>
      <c r="C23" s="8" t="s">
        <v>84</v>
      </c>
      <c r="D23" s="11" t="s">
        <v>42</v>
      </c>
      <c r="E23" s="10"/>
      <c r="F23" s="9" t="s">
        <v>177</v>
      </c>
      <c r="G23" s="9"/>
      <c r="H23" s="10"/>
      <c r="I23" s="9" t="s">
        <v>174</v>
      </c>
      <c r="J23" s="11" t="s">
        <v>115</v>
      </c>
      <c r="K23" s="8" t="s">
        <v>178</v>
      </c>
      <c r="L23" s="11" t="s">
        <v>117</v>
      </c>
    </row>
    <row r="24" customFormat="false" ht="29.85" hidden="false" customHeight="false" outlineLevel="0" collapsed="false">
      <c r="A24" s="8" t="s">
        <v>179</v>
      </c>
      <c r="B24" s="8" t="s">
        <v>97</v>
      </c>
      <c r="C24" s="8" t="s">
        <v>84</v>
      </c>
      <c r="D24" s="11" t="s">
        <v>45</v>
      </c>
      <c r="E24" s="10" t="s">
        <v>131</v>
      </c>
      <c r="F24" s="9" t="s">
        <v>180</v>
      </c>
      <c r="G24" s="8" t="s">
        <v>100</v>
      </c>
      <c r="H24" s="10"/>
      <c r="I24" s="9" t="s">
        <v>122</v>
      </c>
      <c r="J24" s="11" t="s">
        <v>115</v>
      </c>
      <c r="K24" s="9" t="s">
        <v>181</v>
      </c>
      <c r="L24" s="11" t="s">
        <v>117</v>
      </c>
    </row>
    <row r="25" customFormat="false" ht="15" hidden="false" customHeight="false" outlineLevel="0" collapsed="false">
      <c r="A25" s="8" t="s">
        <v>182</v>
      </c>
      <c r="B25" s="8" t="s">
        <v>102</v>
      </c>
      <c r="C25" s="8" t="s">
        <v>84</v>
      </c>
      <c r="D25" s="11" t="s">
        <v>75</v>
      </c>
      <c r="E25" s="10" t="s">
        <v>128</v>
      </c>
      <c r="F25" s="9" t="s">
        <v>183</v>
      </c>
      <c r="G25" s="9"/>
      <c r="H25" s="10"/>
      <c r="I25" s="9" t="s">
        <v>122</v>
      </c>
      <c r="J25" s="11" t="s">
        <v>115</v>
      </c>
      <c r="K25" s="9" t="s">
        <v>151</v>
      </c>
      <c r="L25" s="11" t="s">
        <v>117</v>
      </c>
    </row>
  </sheetData>
  <dataValidations count="5">
    <dataValidation allowBlank="true" errorStyle="stop" operator="between" showDropDown="false" showErrorMessage="false" showInputMessage="false" sqref="E2:E55" type="list">
      <formula1>"△,○,□,♥"</formula1>
      <formula2>0</formula2>
    </dataValidation>
    <dataValidation allowBlank="true" errorStyle="stop" operator="between" showDropDown="false" showErrorMessage="false" showInputMessage="false" sqref="D2:D55" type="list">
      <formula1>"걷기,도착 후,확인 필요"</formula1>
      <formula2>0</formula2>
    </dataValidation>
    <dataValidation allowBlank="true" errorStyle="stop" operator="between" showDropDown="false" showErrorMessage="false" showInputMessage="false" sqref="L2:L55" type="list">
      <formula1>"상호작용,개인 경험"</formula1>
      <formula2>0</formula2>
    </dataValidation>
    <dataValidation allowBlank="true" errorStyle="stop" operator="between" showDropDown="false" showErrorMessage="false" showInputMessage="false" sqref="H2:H55" type="list">
      <formula1>"예,아니오"</formula1>
      <formula2>0</formula2>
    </dataValidation>
    <dataValidation allowBlank="true" errorStyle="stop" operator="between" showDropDown="false" showErrorMessage="false" showInputMessage="false" sqref="J2:J55" type="list">
      <formula1>"미검토,확정,제외"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24"/>
  </cols>
  <sheetData>
    <row r="1" customFormat="false" ht="30" hidden="false" customHeight="true" outlineLevel="0" collapsed="false">
      <c r="A1" s="6" t="s">
        <v>25</v>
      </c>
      <c r="B1" s="6" t="s">
        <v>184</v>
      </c>
      <c r="C1" s="6" t="s">
        <v>185</v>
      </c>
      <c r="D1" s="6" t="s">
        <v>186</v>
      </c>
      <c r="E1" s="6" t="s">
        <v>187</v>
      </c>
      <c r="F1" s="6" t="s">
        <v>188</v>
      </c>
    </row>
    <row r="2" customFormat="false" ht="48" hidden="false" customHeight="true" outlineLevel="0" collapsed="false">
      <c r="A2" s="8" t="s">
        <v>40</v>
      </c>
      <c r="B2" s="8" t="s">
        <v>118</v>
      </c>
      <c r="C2" s="9" t="s">
        <v>189</v>
      </c>
      <c r="D2" s="9" t="s">
        <v>190</v>
      </c>
      <c r="E2" s="11"/>
      <c r="F2" s="11"/>
    </row>
    <row r="3" customFormat="false" ht="48" hidden="false" customHeight="true" outlineLevel="0" collapsed="false">
      <c r="A3" s="8" t="s">
        <v>52</v>
      </c>
      <c r="B3" s="8" t="s">
        <v>191</v>
      </c>
      <c r="C3" s="9" t="s">
        <v>192</v>
      </c>
      <c r="D3" s="9" t="s">
        <v>193</v>
      </c>
      <c r="E3" s="11"/>
      <c r="F3" s="11"/>
    </row>
    <row r="4" customFormat="false" ht="48" hidden="false" customHeight="true" outlineLevel="0" collapsed="false">
      <c r="A4" s="8" t="s">
        <v>61</v>
      </c>
      <c r="B4" s="8" t="s">
        <v>194</v>
      </c>
      <c r="C4" s="9" t="s">
        <v>195</v>
      </c>
      <c r="D4" s="9" t="s">
        <v>193</v>
      </c>
      <c r="E4" s="11"/>
      <c r="F4" s="11"/>
    </row>
    <row r="5" customFormat="false" ht="48" hidden="false" customHeight="true" outlineLevel="0" collapsed="false">
      <c r="A5" s="8" t="s">
        <v>68</v>
      </c>
      <c r="B5" s="8" t="s">
        <v>196</v>
      </c>
      <c r="C5" s="9" t="s">
        <v>197</v>
      </c>
      <c r="D5" s="9" t="s">
        <v>193</v>
      </c>
      <c r="E5" s="11"/>
      <c r="F5" s="11"/>
    </row>
    <row r="6" customFormat="false" ht="48" hidden="false" customHeight="true" outlineLevel="0" collapsed="false">
      <c r="A6" s="8" t="s">
        <v>90</v>
      </c>
      <c r="B6" s="8" t="s">
        <v>198</v>
      </c>
      <c r="C6" s="9" t="s">
        <v>199</v>
      </c>
      <c r="D6" s="9" t="s">
        <v>193</v>
      </c>
      <c r="E6" s="11"/>
      <c r="F6" s="11"/>
    </row>
    <row r="7" customFormat="false" ht="48" hidden="false" customHeight="true" outlineLevel="0" collapsed="false">
      <c r="A7" s="8" t="s">
        <v>97</v>
      </c>
      <c r="B7" s="8" t="s">
        <v>179</v>
      </c>
      <c r="C7" s="9" t="s">
        <v>200</v>
      </c>
      <c r="D7" s="9" t="s">
        <v>201</v>
      </c>
      <c r="E7" s="11"/>
      <c r="F7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50"/>
  </cols>
  <sheetData>
    <row r="1" customFormat="false" ht="19.4" hidden="false" customHeight="false" outlineLevel="0" collapsed="false">
      <c r="A1" s="12" t="s">
        <v>202</v>
      </c>
    </row>
    <row r="3" customFormat="false" ht="30" hidden="false" customHeight="true" outlineLevel="0" collapsed="false">
      <c r="A3" s="6" t="s">
        <v>203</v>
      </c>
      <c r="B3" s="6" t="s">
        <v>204</v>
      </c>
      <c r="C3" s="6" t="s">
        <v>205</v>
      </c>
      <c r="D3" s="6" t="s">
        <v>206</v>
      </c>
    </row>
    <row r="4" customFormat="false" ht="15" hidden="false" customHeight="false" outlineLevel="0" collapsed="false">
      <c r="A4" s="13" t="s">
        <v>207</v>
      </c>
      <c r="B4" s="14"/>
      <c r="C4" s="14" t="n">
        <v>0.791666666666667</v>
      </c>
      <c r="D4" s="15" t="s">
        <v>208</v>
      </c>
    </row>
    <row r="5" customFormat="false" ht="15" hidden="false" customHeight="false" outlineLevel="0" collapsed="false">
      <c r="A5" s="13" t="s">
        <v>209</v>
      </c>
      <c r="B5" s="14"/>
      <c r="C5" s="14" t="n">
        <v>0.805555555555556</v>
      </c>
      <c r="D5" s="15" t="s">
        <v>210</v>
      </c>
    </row>
    <row r="6" customFormat="false" ht="15" hidden="false" customHeight="false" outlineLevel="0" collapsed="false">
      <c r="A6" s="13" t="s">
        <v>211</v>
      </c>
      <c r="B6" s="15" t="str">
        <f aca="false">IF(OR(B4="",B5=""),"",ROUND((B5-B4)*1440,0))</f>
        <v/>
      </c>
      <c r="C6" s="15" t="n">
        <f aca="false">IF(OR(C4="",C5=""),"",ROUND((C5-C4)*1440,0))</f>
        <v>20</v>
      </c>
      <c r="D6" s="16" t="s">
        <v>212</v>
      </c>
    </row>
    <row r="7" customFormat="false" ht="15" hidden="false" customHeight="false" outlineLevel="0" collapsed="false">
      <c r="A7" s="13"/>
      <c r="B7" s="16"/>
      <c r="C7" s="16"/>
      <c r="D7" s="16"/>
    </row>
    <row r="8" customFormat="false" ht="15" hidden="false" customHeight="false" outlineLevel="0" collapsed="false">
      <c r="A8" s="13" t="s">
        <v>213</v>
      </c>
      <c r="B8" s="16" t="n">
        <f aca="false">COUNTIFS(상호작용!$C$2:$C$55,"A",상호작용!$D$2:$D$55,"걷기",상호작용!$E$2:$E$55,"△",상호작용!$J$2:$J$55,"확정",상호작용!$L$2:$L$55,"상호작용")</f>
        <v>0</v>
      </c>
      <c r="C8" s="16" t="n">
        <f aca="false">COUNTIFS(상호작용!$C$2:$C$55,"B",상호작용!$D$2:$D$55,"걷기",상호작용!$E$2:$E$55,"△",상호작용!$J$2:$J$55,"확정",상호작용!$L$2:$L$55,"상호작용")</f>
        <v>0</v>
      </c>
      <c r="D8" s="16" t="s">
        <v>214</v>
      </c>
    </row>
    <row r="9" customFormat="false" ht="15" hidden="false" customHeight="false" outlineLevel="0" collapsed="false">
      <c r="A9" s="13" t="s">
        <v>215</v>
      </c>
      <c r="B9" s="16" t="n">
        <f aca="false">COUNTIFS(상호작용!$C$2:$C$55,"A",상호작용!$D$2:$D$55,"걷기",상호작용!$E$2:$E$55,"○",상호작용!$J$2:$J$55,"확정",상호작용!$L$2:$L$55,"상호작용")</f>
        <v>0</v>
      </c>
      <c r="C9" s="16" t="n">
        <f aca="false">COUNTIFS(상호작용!$C$2:$C$55,"B",상호작용!$D$2:$D$55,"걷기",상호작용!$E$2:$E$55,"○",상호작용!$J$2:$J$55,"확정",상호작용!$L$2:$L$55,"상호작용")</f>
        <v>0</v>
      </c>
      <c r="D9" s="16" t="s">
        <v>214</v>
      </c>
    </row>
    <row r="10" customFormat="false" ht="15" hidden="false" customHeight="false" outlineLevel="0" collapsed="false">
      <c r="A10" s="13" t="s">
        <v>216</v>
      </c>
      <c r="B10" s="16" t="n">
        <f aca="false">COUNTIFS(상호작용!$C$2:$C$55,"A",상호작용!$D$2:$D$55,"걷기",상호작용!$E$2:$E$55,"□",상호작용!$J$2:$J$55,"확정",상호작용!$L$2:$L$55,"상호작용")</f>
        <v>0</v>
      </c>
      <c r="C10" s="16" t="n">
        <f aca="false">COUNTIFS(상호작용!$C$2:$C$55,"B",상호작용!$D$2:$D$55,"걷기",상호작용!$E$2:$E$55,"□",상호작용!$J$2:$J$55,"확정",상호작용!$L$2:$L$55,"상호작용")</f>
        <v>0</v>
      </c>
      <c r="D10" s="16" t="s">
        <v>214</v>
      </c>
    </row>
    <row r="11" customFormat="false" ht="15" hidden="false" customHeight="false" outlineLevel="0" collapsed="false">
      <c r="A11" s="13" t="s">
        <v>217</v>
      </c>
      <c r="B11" s="16" t="n">
        <f aca="false">COUNTIFS(상호작용!$C$2:$C$55,"A",상호작용!$D$2:$D$55,"걷기",상호작용!$E$2:$E$55,"♥",상호작용!$J$2:$J$55,"확정",상호작용!$L$2:$L$55,"상호작용")</f>
        <v>0</v>
      </c>
      <c r="C11" s="16" t="n">
        <f aca="false">COUNTIFS(상호작용!$C$2:$C$55,"B",상호작용!$D$2:$D$55,"걷기",상호작용!$E$2:$E$55,"♥",상호작용!$J$2:$J$55,"확정",상호작용!$L$2:$L$55,"상호작용")</f>
        <v>0</v>
      </c>
      <c r="D11" s="16" t="s">
        <v>214</v>
      </c>
    </row>
    <row r="12" customFormat="false" ht="15" hidden="false" customHeight="false" outlineLevel="0" collapsed="false">
      <c r="A12" s="13" t="s">
        <v>218</v>
      </c>
      <c r="B12" s="16" t="n">
        <f aca="false">SUM(B8:B11)</f>
        <v>0</v>
      </c>
      <c r="C12" s="16" t="n">
        <f aca="false">SUM(C8:C11)</f>
        <v>0</v>
      </c>
      <c r="D12" s="16"/>
    </row>
    <row r="13" customFormat="false" ht="15" hidden="false" customHeight="false" outlineLevel="0" collapsed="false">
      <c r="A13" s="17" t="s">
        <v>219</v>
      </c>
      <c r="B13" s="16" t="str">
        <f aca="false">IF(OR(B6="",B6=0),"시간 미확정",ROUND(B12/B6*10,1))</f>
        <v>시간 미확정</v>
      </c>
      <c r="C13" s="16" t="n">
        <f aca="false">IF(OR(C6="",C6=0),"시간 미확정",ROUND(C12/C6*10,1))</f>
        <v>0</v>
      </c>
      <c r="D13" s="16" t="s">
        <v>220</v>
      </c>
    </row>
    <row r="14" customFormat="false" ht="15" hidden="false" customHeight="false" outlineLevel="0" collapsed="false">
      <c r="A14" s="13"/>
      <c r="B14" s="16"/>
      <c r="C14" s="16"/>
      <c r="D14" s="16"/>
    </row>
    <row r="15" customFormat="false" ht="15" hidden="false" customHeight="false" outlineLevel="0" collapsed="false">
      <c r="A15" s="17" t="s">
        <v>221</v>
      </c>
      <c r="B15" s="16" t="n">
        <f aca="false">COUNTIFS(상호작용!$C$2:$C$55,"A",상호작용!$D$2:$D$55,"걷기",상호작용!$H$2:$H$55,"예",상호작용!$J$2:$J$55,"확정",상호작용!$L$2:$L$55,"상호작용")</f>
        <v>0</v>
      </c>
      <c r="C15" s="16" t="n">
        <f aca="false">COUNTIFS(상호작용!$C$2:$C$55,"B",상호작용!$D$2:$D$55,"걷기",상호작용!$H$2:$H$55,"예",상호작용!$J$2:$J$55,"확정",상호작용!$L$2:$L$55,"상호작용")</f>
        <v>0</v>
      </c>
      <c r="D15" s="16" t="s">
        <v>222</v>
      </c>
    </row>
    <row r="16" customFormat="false" ht="15" hidden="false" customHeight="false" outlineLevel="0" collapsed="false">
      <c r="A16" s="17" t="s">
        <v>223</v>
      </c>
      <c r="B16" s="16" t="n">
        <f aca="false">COUNTIFS(장면!$B$2:$B$60,"A",장면!$D$2:$D$60,"걷기",장면!$H$2:$H$60,"예")</f>
        <v>0</v>
      </c>
      <c r="C16" s="16" t="n">
        <f aca="false">COUNTIFS(장면!$B$2:$B$60,"B",장면!$D$2:$D$60,"걷기",장면!$H$2:$H$60,"예")</f>
        <v>0</v>
      </c>
      <c r="D16" s="16" t="s">
        <v>224</v>
      </c>
    </row>
    <row r="17" customFormat="false" ht="15" hidden="false" customHeight="false" outlineLevel="0" collapsed="false">
      <c r="A17" s="13" t="s">
        <v>225</v>
      </c>
      <c r="B17" s="16" t="n">
        <f aca="false">COUNTIFS(상호작용!$C$2:$C$55,"A",상호작용!$D$2:$D$55,"도착 후",상호작용!$J$2:$J$55,"확정",상호작용!$L$2:$L$55,"상호작용")</f>
        <v>0</v>
      </c>
      <c r="C17" s="16" t="n">
        <f aca="false">COUNTIFS(상호작용!$C$2:$C$55,"B",상호작용!$D$2:$D$55,"도착 후",상호작용!$J$2:$J$55,"확정",상호작용!$L$2:$L$55,"상호작용")</f>
        <v>0</v>
      </c>
      <c r="D17" s="16"/>
    </row>
    <row r="18" customFormat="false" ht="15" hidden="false" customHeight="false" outlineLevel="0" collapsed="false">
      <c r="A18" s="13" t="s">
        <v>226</v>
      </c>
      <c r="B18" s="16" t="n">
        <f aca="false">COUNTIFS(상호작용!$C$2:$C$55,"A",상호작용!$D$2:$D$55,"확인 필요")</f>
        <v>0</v>
      </c>
      <c r="C18" s="16" t="n">
        <f aca="false">COUNTIFS(상호작용!$C$2:$C$55,"B",상호작용!$D$2:$D$55,"확인 필요")</f>
        <v>1</v>
      </c>
      <c r="D18" s="16" t="s">
        <v>227</v>
      </c>
    </row>
    <row r="19" customFormat="false" ht="15" hidden="false" customHeight="false" outlineLevel="0" collapsed="false">
      <c r="A19" s="13" t="s">
        <v>228</v>
      </c>
      <c r="B19" s="16" t="n">
        <f aca="false">COUNTIFS(상호작용!$C$2:$C$55,"A",상호작용!$L$2:$L$55,"개인 경험")</f>
        <v>0</v>
      </c>
      <c r="C19" s="16" t="n">
        <f aca="false">COUNTIFS(상호작용!$C$2:$C$55,"B",상호작용!$L$2:$L$55,"개인 경험")</f>
        <v>2</v>
      </c>
      <c r="D19" s="16" t="s">
        <v>229</v>
      </c>
    </row>
    <row r="20" customFormat="false" ht="15" hidden="false" customHeight="false" outlineLevel="0" collapsed="false">
      <c r="A20" s="13" t="s">
        <v>230</v>
      </c>
      <c r="B20" s="16" t="n">
        <f aca="false">COUNTIFS(상호작용!$C$2:$C$55,"A",상호작용!$J$2:$J$55,"미검토")</f>
        <v>14</v>
      </c>
      <c r="C20" s="16" t="n">
        <f aca="false">COUNTIFS(상호작용!$C$2:$C$55,"B",상호작용!$J$2:$J$55,"미검토")</f>
        <v>10</v>
      </c>
      <c r="D20" s="15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2026-10-10T17:45:04Z</dcterms:created>
  <dc:creator>openpyxl</dc:creator>
  <dc:description/>
  <dc:language>en-US</dc:language>
  <cp:lastModifiedBy/>
  <dcterms:modified xsi:type="dcterms:W3CDTF">2026-10-10T17:45:04Z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